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D:\CryptoMines\"/>
    </mc:Choice>
  </mc:AlternateContent>
  <xr:revisionPtr revIDLastSave="0" documentId="13_ncr:1_{ADE785F9-DB03-4C54-BBC8-EEFC5A51C544}" xr6:coauthVersionLast="37" xr6:coauthVersionMax="37" xr10:uidLastSave="{00000000-0000-0000-0000-000000000000}"/>
  <bookViews>
    <workbookView xWindow="0" yWindow="0" windowWidth="22260" windowHeight="12645" xr2:uid="{00000000-000D-0000-FFFF-FFFF00000000}"/>
  </bookViews>
  <sheets>
    <sheet name="profit" sheetId="5" r:id="rId1"/>
    <sheet name="fleets" sheetId="1" r:id="rId2"/>
    <sheet name="fleets C" sheetId="3" r:id="rId3"/>
    <sheet name="fleets B" sheetId="4" r:id="rId4"/>
    <sheet name="fleets A" sheetId="6" r:id="rId5"/>
    <sheet name="trade" sheetId="2" r:id="rId6"/>
  </sheets>
  <definedNames>
    <definedName name="solver_adj" localSheetId="1" hidden="1">fleets!$J$9:$J$13</definedName>
    <definedName name="solver_adj" localSheetId="4" hidden="1">'fleets A'!$J$8:$J$17</definedName>
    <definedName name="solver_adj" localSheetId="3" hidden="1">'fleets B'!$J$8:$J$12</definedName>
    <definedName name="solver_adj" localSheetId="2" hidden="1">'fleets C'!$F$8:$F$12</definedName>
    <definedName name="solver_cvg" localSheetId="1" hidden="1">0.0001</definedName>
    <definedName name="solver_cvg" localSheetId="3" hidden="1">0.0001</definedName>
    <definedName name="solver_drv" localSheetId="1" hidden="1">1</definedName>
    <definedName name="solver_drv" localSheetId="3" hidden="1">2</definedName>
    <definedName name="solver_eng" localSheetId="1" hidden="1">1</definedName>
    <definedName name="solver_eng" localSheetId="4" hidden="1">1</definedName>
    <definedName name="solver_eng" localSheetId="3" hidden="1">1</definedName>
    <definedName name="solver_eng" localSheetId="2" hidden="1">1</definedName>
    <definedName name="solver_est" localSheetId="1" hidden="1">1</definedName>
    <definedName name="solver_est" localSheetId="3" hidden="1">1</definedName>
    <definedName name="solver_itr" localSheetId="1" hidden="1">2147483647</definedName>
    <definedName name="solver_itr" localSheetId="3" hidden="1">2147483647</definedName>
    <definedName name="solver_lhs0" localSheetId="1" hidden="1">fleets!$C$15:$C$18</definedName>
    <definedName name="solver_lhs1" localSheetId="1" hidden="1">fleets!$J$15</definedName>
    <definedName name="solver_lhs1" localSheetId="4" hidden="1">'fleets A'!$J$22</definedName>
    <definedName name="solver_lhs1" localSheetId="3" hidden="1">'fleets B'!$J$17</definedName>
    <definedName name="solver_lhs1" localSheetId="2" hidden="1">'fleets C'!$F$17</definedName>
    <definedName name="solver_lhs2" localSheetId="1" hidden="1">fleets!$J$15</definedName>
    <definedName name="solver_lhs2" localSheetId="4" hidden="1">'fleets A'!$J$8:$J$17</definedName>
    <definedName name="solver_lhs2" localSheetId="3" hidden="1">'fleets B'!$J$8:$J$12</definedName>
    <definedName name="solver_lhs2" localSheetId="2" hidden="1">'fleets C'!$F$8:$F$12</definedName>
    <definedName name="solver_lhs3" localSheetId="1" hidden="1">fleets!$J$18</definedName>
    <definedName name="solver_lhs3" localSheetId="4" hidden="1">'fleets A'!$J$19</definedName>
    <definedName name="solver_lhs3" localSheetId="3" hidden="1">'fleets B'!$J$14</definedName>
    <definedName name="solver_lhs3" localSheetId="2" hidden="1">'fleets C'!$F$14</definedName>
    <definedName name="solver_lhs4" localSheetId="1" hidden="1">fleets!$J$9:$J$13</definedName>
    <definedName name="solver_lhs4" localSheetId="4" hidden="1">'fleets A'!$J$19</definedName>
    <definedName name="solver_lhs4" localSheetId="3" hidden="1">'fleets B'!$J$14</definedName>
    <definedName name="solver_lhs4" localSheetId="2" hidden="1">'fleets C'!$F$14</definedName>
    <definedName name="solver_lhs5" localSheetId="1" hidden="1">fleets!#REF!</definedName>
    <definedName name="solver_lhs6" localSheetId="1" hidden="1">fleets!#REF!</definedName>
    <definedName name="solver_lhs7" localSheetId="1" hidden="1">fleets!#REF!</definedName>
    <definedName name="solver_lhs8" localSheetId="1" hidden="1">fleets!#REF!</definedName>
    <definedName name="solver_lhs9" localSheetId="1" hidden="1">fleets!#REF!</definedName>
    <definedName name="solver_mip" localSheetId="1" hidden="1">2147483647</definedName>
    <definedName name="solver_mip" localSheetId="3" hidden="1">2147483647</definedName>
    <definedName name="solver_mni" localSheetId="1" hidden="1">30</definedName>
    <definedName name="solver_mni" localSheetId="3" hidden="1">30</definedName>
    <definedName name="solver_mrt" localSheetId="1" hidden="1">0.075</definedName>
    <definedName name="solver_mrt" localSheetId="3" hidden="1">0.075</definedName>
    <definedName name="solver_msl" localSheetId="1" hidden="1">2</definedName>
    <definedName name="solver_msl" localSheetId="3" hidden="1">2</definedName>
    <definedName name="solver_neg" localSheetId="1" hidden="1">1</definedName>
    <definedName name="solver_neg" localSheetId="4" hidden="1">1</definedName>
    <definedName name="solver_neg" localSheetId="3" hidden="1">1</definedName>
    <definedName name="solver_neg" localSheetId="2" hidden="1">1</definedName>
    <definedName name="solver_nod" localSheetId="1" hidden="1">2147483647</definedName>
    <definedName name="solver_nod" localSheetId="3" hidden="1">2147483647</definedName>
    <definedName name="solver_num" localSheetId="1" hidden="1">4</definedName>
    <definedName name="solver_num" localSheetId="4" hidden="1">4</definedName>
    <definedName name="solver_num" localSheetId="3" hidden="1">4</definedName>
    <definedName name="solver_num" localSheetId="2" hidden="1">4</definedName>
    <definedName name="solver_nwt" localSheetId="1" hidden="1">1</definedName>
    <definedName name="solver_nwt" localSheetId="3" hidden="1">1</definedName>
    <definedName name="solver_opt" localSheetId="1" hidden="1">fleets!$J$2</definedName>
    <definedName name="solver_opt" localSheetId="4" hidden="1">'fleets A'!$J$2</definedName>
    <definedName name="solver_opt" localSheetId="3" hidden="1">'fleets B'!$J$2</definedName>
    <definedName name="solver_opt" localSheetId="2" hidden="1">'fleets C'!$F$2</definedName>
    <definedName name="solver_pre" localSheetId="1" hidden="1">0.000001</definedName>
    <definedName name="solver_pre" localSheetId="3" hidden="1">0.000001</definedName>
    <definedName name="solver_rbv" localSheetId="1" hidden="1">1</definedName>
    <definedName name="solver_rbv" localSheetId="3" hidden="1">2</definedName>
    <definedName name="solver_rel0" localSheetId="1" hidden="1">4</definedName>
    <definedName name="solver_rel1" localSheetId="1" hidden="1">1</definedName>
    <definedName name="solver_rel1" localSheetId="4" hidden="1">1</definedName>
    <definedName name="solver_rel1" localSheetId="3" hidden="1">1</definedName>
    <definedName name="solver_rel1" localSheetId="2" hidden="1">1</definedName>
    <definedName name="solver_rel2" localSheetId="1" hidden="1">3</definedName>
    <definedName name="solver_rel2" localSheetId="4" hidden="1">4</definedName>
    <definedName name="solver_rel2" localSheetId="3" hidden="1">4</definedName>
    <definedName name="solver_rel2" localSheetId="2" hidden="1">4</definedName>
    <definedName name="solver_rel3" localSheetId="1" hidden="1">1</definedName>
    <definedName name="solver_rel3" localSheetId="4" hidden="1">3</definedName>
    <definedName name="solver_rel3" localSheetId="3" hidden="1">3</definedName>
    <definedName name="solver_rel3" localSheetId="2" hidden="1">3</definedName>
    <definedName name="solver_rel4" localSheetId="1" hidden="1">4</definedName>
    <definedName name="solver_rel4" localSheetId="4" hidden="1">1</definedName>
    <definedName name="solver_rel4" localSheetId="3" hidden="1">1</definedName>
    <definedName name="solver_rel4" localSheetId="2" hidden="1">1</definedName>
    <definedName name="solver_rel5" localSheetId="1" hidden="1">3</definedName>
    <definedName name="solver_rel6" localSheetId="1" hidden="1">3</definedName>
    <definedName name="solver_rel7" localSheetId="1" hidden="1">3</definedName>
    <definedName name="solver_rel8" localSheetId="1" hidden="1">3</definedName>
    <definedName name="solver_rel9" localSheetId="1" hidden="1">3</definedName>
    <definedName name="solver_rhs0" localSheetId="1" hidden="1">"целое"</definedName>
    <definedName name="solver_rhs1" localSheetId="1" hidden="1">fleets!$K$1</definedName>
    <definedName name="solver_rhs1" localSheetId="4" hidden="1">31</definedName>
    <definedName name="solver_rhs1" localSheetId="3" hidden="1">26</definedName>
    <definedName name="solver_rhs1" localSheetId="2" hidden="1">20</definedName>
    <definedName name="solver_rhs2" localSheetId="1" hidden="1">fleets!$J$1</definedName>
    <definedName name="solver_rhs2" localSheetId="4" hidden="1">"целое"</definedName>
    <definedName name="solver_rhs2" localSheetId="3" hidden="1">"целое"</definedName>
    <definedName name="solver_rhs2" localSheetId="2" hidden="1">"целое"</definedName>
    <definedName name="solver_rhs3" localSheetId="1" hidden="1">20</definedName>
    <definedName name="solver_rhs3" localSheetId="4" hidden="1">'fleets A'!$J$1</definedName>
    <definedName name="solver_rhs3" localSheetId="3" hidden="1">'fleets B'!$J$1</definedName>
    <definedName name="solver_rhs3" localSheetId="2" hidden="1">'fleets C'!$F$1</definedName>
    <definedName name="solver_rhs4" localSheetId="1" hidden="1">"целое"</definedName>
    <definedName name="solver_rhs4" localSheetId="4" hidden="1">'fleets A'!$K$1</definedName>
    <definedName name="solver_rhs4" localSheetId="3" hidden="1">'fleets B'!$K$1</definedName>
    <definedName name="solver_rhs4" localSheetId="2" hidden="1">'fleets C'!$G$1</definedName>
    <definedName name="solver_rhs5" localSheetId="1" hidden="1">fleets!$K$28</definedName>
    <definedName name="solver_rhs6" localSheetId="1" hidden="1">fleets!$K$28</definedName>
    <definedName name="solver_rhs7" localSheetId="1" hidden="1">fleets!$K$28</definedName>
    <definedName name="solver_rhs8" localSheetId="1" hidden="1">fleets!$K$28</definedName>
    <definedName name="solver_rhs9" localSheetId="1" hidden="1">fleets!$K$28</definedName>
    <definedName name="solver_rlx" localSheetId="1" hidden="1">2</definedName>
    <definedName name="solver_rlx" localSheetId="3" hidden="1">2</definedName>
    <definedName name="solver_rsd" localSheetId="1" hidden="1">0</definedName>
    <definedName name="solver_rsd" localSheetId="3" hidden="1">0</definedName>
    <definedName name="solver_scl" localSheetId="1" hidden="1">1</definedName>
    <definedName name="solver_scl" localSheetId="3" hidden="1">2</definedName>
    <definedName name="solver_sho" localSheetId="1" hidden="1">2</definedName>
    <definedName name="solver_sho" localSheetId="3" hidden="1">2</definedName>
    <definedName name="solver_ssz" localSheetId="1" hidden="1">100</definedName>
    <definedName name="solver_ssz" localSheetId="3" hidden="1">100</definedName>
    <definedName name="solver_tim" localSheetId="1" hidden="1">2147483647</definedName>
    <definedName name="solver_tim" localSheetId="3" hidden="1">2147483647</definedName>
    <definedName name="solver_tol" localSheetId="1" hidden="1">0.01</definedName>
    <definedName name="solver_tol" localSheetId="3" hidden="1">0.01</definedName>
    <definedName name="solver_typ" localSheetId="1" hidden="1">2</definedName>
    <definedName name="solver_typ" localSheetId="4" hidden="1">2</definedName>
    <definedName name="solver_typ" localSheetId="3" hidden="1">2</definedName>
    <definedName name="solver_typ" localSheetId="2" hidden="1">2</definedName>
    <definedName name="solver_val" localSheetId="1" hidden="1">0</definedName>
    <definedName name="solver_val" localSheetId="4" hidden="1">0</definedName>
    <definedName name="solver_val" localSheetId="3" hidden="1">0</definedName>
    <definedName name="solver_val" localSheetId="2" hidden="1">0</definedName>
    <definedName name="solver_ver" localSheetId="1" hidden="1">3</definedName>
    <definedName name="solver_ver" localSheetId="4" hidden="1">3</definedName>
    <definedName name="solver_ver" localSheetId="3" hidden="1">3</definedName>
    <definedName name="solver_ver" localSheetId="2" hidden="1">3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3" i="5" l="1"/>
  <c r="D34" i="5"/>
  <c r="D35" i="5"/>
  <c r="D36" i="5"/>
  <c r="D32" i="5" l="1"/>
  <c r="D31" i="5" l="1"/>
  <c r="D30" i="5" l="1"/>
  <c r="B84" i="1" l="1"/>
  <c r="B85" i="1"/>
  <c r="B86" i="1"/>
  <c r="B87" i="1"/>
  <c r="B88" i="1"/>
  <c r="B83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58" i="1"/>
  <c r="A87" i="1"/>
  <c r="A88" i="1"/>
  <c r="A82" i="1"/>
  <c r="A83" i="1"/>
  <c r="A84" i="1"/>
  <c r="A85" i="1"/>
  <c r="A86" i="1"/>
  <c r="C66" i="1"/>
  <c r="C67" i="1"/>
  <c r="C65" i="1"/>
  <c r="C63" i="1"/>
  <c r="C64" i="1"/>
  <c r="C61" i="1"/>
  <c r="C62" i="1"/>
  <c r="C60" i="1"/>
  <c r="C59" i="1"/>
  <c r="C58" i="1"/>
  <c r="P31" i="1"/>
  <c r="P32" i="1"/>
  <c r="P33" i="1"/>
  <c r="P34" i="1"/>
  <c r="P35" i="1"/>
  <c r="P36" i="1"/>
  <c r="P37" i="1"/>
  <c r="P38" i="1"/>
  <c r="P39" i="1"/>
  <c r="P30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16" i="1"/>
  <c r="Q24" i="1"/>
  <c r="Q23" i="1"/>
  <c r="Q22" i="1"/>
  <c r="Q20" i="1"/>
  <c r="Q19" i="1"/>
  <c r="Q17" i="1"/>
  <c r="Q18" i="1"/>
  <c r="Q16" i="1"/>
  <c r="M59" i="1"/>
  <c r="F59" i="1"/>
  <c r="T17" i="1"/>
  <c r="M17" i="1"/>
  <c r="F17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16" i="1"/>
  <c r="J17" i="1"/>
  <c r="J18" i="1"/>
  <c r="J19" i="1"/>
  <c r="J20" i="1"/>
  <c r="J21" i="1"/>
  <c r="J16" i="1"/>
  <c r="J22" i="1"/>
  <c r="J23" i="1"/>
  <c r="J24" i="1"/>
  <c r="J25" i="1"/>
  <c r="B35" i="1"/>
  <c r="B34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16" i="1"/>
  <c r="C17" i="1"/>
  <c r="C18" i="1"/>
  <c r="C19" i="1"/>
  <c r="C20" i="1"/>
  <c r="C21" i="1"/>
  <c r="C22" i="1"/>
  <c r="C23" i="1"/>
  <c r="C24" i="1"/>
  <c r="C25" i="1"/>
  <c r="C16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K68" i="1"/>
  <c r="I68" i="1"/>
  <c r="I67" i="1"/>
  <c r="J66" i="1"/>
  <c r="I66" i="1"/>
  <c r="J65" i="1"/>
  <c r="I65" i="1"/>
  <c r="J64" i="1"/>
  <c r="I64" i="1"/>
  <c r="J63" i="1"/>
  <c r="I63" i="1"/>
  <c r="J62" i="1"/>
  <c r="I62" i="1"/>
  <c r="J61" i="1"/>
  <c r="I61" i="1"/>
  <c r="J60" i="1"/>
  <c r="I60" i="1"/>
  <c r="J59" i="1"/>
  <c r="I59" i="1"/>
  <c r="H59" i="1"/>
  <c r="H60" i="1" s="1"/>
  <c r="H61" i="1" s="1"/>
  <c r="H62" i="1" s="1"/>
  <c r="H63" i="1" s="1"/>
  <c r="H64" i="1" s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J58" i="1"/>
  <c r="I58" i="1"/>
  <c r="D68" i="1"/>
  <c r="A59" i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R26" i="1"/>
  <c r="Q21" i="1"/>
  <c r="O17" i="1"/>
  <c r="O18" i="1" s="1"/>
  <c r="O19" i="1" s="1"/>
  <c r="O20" i="1" s="1"/>
  <c r="O21" i="1" s="1"/>
  <c r="O22" i="1" s="1"/>
  <c r="O23" i="1" s="1"/>
  <c r="O24" i="1" s="1"/>
  <c r="O25" i="1" s="1"/>
  <c r="O26" i="1" s="1"/>
  <c r="O27" i="1" s="1"/>
  <c r="O28" i="1" s="1"/>
  <c r="O29" i="1" s="1"/>
  <c r="O30" i="1" s="1"/>
  <c r="O31" i="1" s="1"/>
  <c r="O32" i="1" s="1"/>
  <c r="O33" i="1" s="1"/>
  <c r="O34" i="1" s="1"/>
  <c r="O35" i="1" s="1"/>
  <c r="O36" i="1" s="1"/>
  <c r="O37" i="1" s="1"/>
  <c r="O38" i="1" s="1"/>
  <c r="O39" i="1" s="1"/>
  <c r="K26" i="1"/>
  <c r="H18" i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H17" i="1"/>
  <c r="D26" i="1"/>
  <c r="A17" i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E4" i="4"/>
  <c r="F4" i="4"/>
  <c r="G4" i="4"/>
  <c r="H4" i="4"/>
  <c r="I4" i="4"/>
  <c r="J4" i="4"/>
  <c r="C4" i="4"/>
  <c r="D4" i="4"/>
  <c r="D29" i="5"/>
  <c r="M57" i="1" l="1"/>
  <c r="F15" i="1"/>
  <c r="M58" i="1"/>
  <c r="M60" i="1" s="1"/>
  <c r="H7" i="1" s="1"/>
  <c r="I7" i="1" s="1"/>
  <c r="F58" i="1"/>
  <c r="M15" i="1"/>
  <c r="F57" i="1"/>
  <c r="T15" i="1"/>
  <c r="T16" i="1"/>
  <c r="M16" i="1"/>
  <c r="F16" i="1"/>
  <c r="J3" i="5"/>
  <c r="F60" i="1" l="1"/>
  <c r="H6" i="1" s="1"/>
  <c r="I6" i="1" s="1"/>
  <c r="M18" i="1"/>
  <c r="H4" i="1" s="1"/>
  <c r="I4" i="1" s="1"/>
  <c r="T18" i="1"/>
  <c r="H5" i="1" s="1"/>
  <c r="I5" i="1" s="1"/>
  <c r="F18" i="1"/>
  <c r="H3" i="1" s="1"/>
  <c r="I3" i="1" s="1"/>
  <c r="D28" i="5"/>
  <c r="Q3" i="6"/>
  <c r="L35" i="6"/>
  <c r="L36" i="6" s="1"/>
  <c r="L37" i="6" s="1"/>
  <c r="D27" i="5" l="1"/>
  <c r="C5" i="2" l="1"/>
  <c r="D23" i="5" l="1"/>
  <c r="D24" i="5"/>
  <c r="D25" i="5"/>
  <c r="D26" i="5"/>
  <c r="C28" i="4" l="1"/>
  <c r="D4" i="3" l="1"/>
  <c r="E4" i="3"/>
  <c r="F4" i="3"/>
  <c r="C4" i="3"/>
  <c r="D3" i="6"/>
  <c r="E3" i="6"/>
  <c r="F3" i="6"/>
  <c r="G3" i="6"/>
  <c r="H3" i="6"/>
  <c r="I3" i="6"/>
  <c r="J3" i="6"/>
  <c r="C3" i="6"/>
  <c r="D19" i="6"/>
  <c r="E19" i="6"/>
  <c r="F19" i="6"/>
  <c r="G19" i="6"/>
  <c r="H19" i="6"/>
  <c r="I19" i="6"/>
  <c r="J19" i="6"/>
  <c r="C19" i="6"/>
  <c r="D22" i="6"/>
  <c r="E22" i="6"/>
  <c r="F22" i="6"/>
  <c r="F4" i="6" s="1"/>
  <c r="G22" i="6"/>
  <c r="H22" i="6"/>
  <c r="H4" i="6" s="1"/>
  <c r="I22" i="6"/>
  <c r="J22" i="6"/>
  <c r="J4" i="6" s="1"/>
  <c r="C22" i="6"/>
  <c r="D2" i="6"/>
  <c r="E2" i="6"/>
  <c r="F2" i="6"/>
  <c r="G2" i="6"/>
  <c r="H2" i="6"/>
  <c r="I2" i="6"/>
  <c r="J2" i="6"/>
  <c r="C2" i="6"/>
  <c r="I46" i="6"/>
  <c r="H46" i="6"/>
  <c r="G46" i="6"/>
  <c r="F46" i="6"/>
  <c r="E46" i="6"/>
  <c r="D46" i="6"/>
  <c r="C46" i="6"/>
  <c r="B46" i="6"/>
  <c r="A46" i="6"/>
  <c r="H33" i="6"/>
  <c r="G33" i="6"/>
  <c r="F33" i="6"/>
  <c r="E33" i="6"/>
  <c r="D33" i="6"/>
  <c r="C33" i="6"/>
  <c r="B33" i="6"/>
  <c r="O14" i="6"/>
  <c r="L5" i="6"/>
  <c r="L6" i="6" s="1"/>
  <c r="L7" i="6" s="1"/>
  <c r="L8" i="6" s="1"/>
  <c r="L9" i="6" s="1"/>
  <c r="L10" i="6" s="1"/>
  <c r="L11" i="6" s="1"/>
  <c r="L12" i="6" s="1"/>
  <c r="L13" i="6" s="1"/>
  <c r="L14" i="6" s="1"/>
  <c r="L15" i="6" s="1"/>
  <c r="L16" i="6" s="1"/>
  <c r="L17" i="6" s="1"/>
  <c r="L18" i="6" s="1"/>
  <c r="L19" i="6" s="1"/>
  <c r="L20" i="6" s="1"/>
  <c r="L21" i="6" s="1"/>
  <c r="L22" i="6" s="1"/>
  <c r="L23" i="6" s="1"/>
  <c r="L24" i="6" s="1"/>
  <c r="L25" i="6" s="1"/>
  <c r="L26" i="6" s="1"/>
  <c r="L27" i="6" s="1"/>
  <c r="L28" i="6" s="1"/>
  <c r="L29" i="6" s="1"/>
  <c r="L30" i="6" s="1"/>
  <c r="L31" i="6" s="1"/>
  <c r="L32" i="6" s="1"/>
  <c r="L33" i="6" s="1"/>
  <c r="L34" i="6" s="1"/>
  <c r="Q4" i="6"/>
  <c r="D1" i="6"/>
  <c r="E1" i="6" s="1"/>
  <c r="F1" i="6" s="1"/>
  <c r="G1" i="6" s="1"/>
  <c r="H1" i="6" s="1"/>
  <c r="I1" i="6" s="1"/>
  <c r="J1" i="6" s="1"/>
  <c r="K1" i="6" s="1"/>
  <c r="Q3" i="4"/>
  <c r="L30" i="4"/>
  <c r="L31" i="4" s="1"/>
  <c r="L32" i="4" s="1"/>
  <c r="L33" i="4" s="1"/>
  <c r="L34" i="4" s="1"/>
  <c r="J5" i="6" l="1"/>
  <c r="J6" i="6" s="1"/>
  <c r="H5" i="6"/>
  <c r="H6" i="6" s="1"/>
  <c r="E4" i="6"/>
  <c r="E5" i="6" s="1"/>
  <c r="E6" i="6" s="1"/>
  <c r="G4" i="6"/>
  <c r="G5" i="6" s="1"/>
  <c r="G6" i="6" s="1"/>
  <c r="D4" i="6"/>
  <c r="D5" i="6" s="1"/>
  <c r="D6" i="6" s="1"/>
  <c r="F5" i="6"/>
  <c r="F6" i="6" s="1"/>
  <c r="Q6" i="6"/>
  <c r="Q8" i="6" s="1"/>
  <c r="C4" i="6"/>
  <c r="C5" i="6" s="1"/>
  <c r="C6" i="6" s="1"/>
  <c r="I4" i="6"/>
  <c r="I5" i="6" s="1"/>
  <c r="I6" i="6" s="1"/>
  <c r="B31" i="3"/>
  <c r="C27" i="3"/>
  <c r="D27" i="3" s="1"/>
  <c r="E27" i="3" s="1"/>
  <c r="F27" i="3" s="1"/>
  <c r="G27" i="3" s="1"/>
  <c r="D31" i="3" l="1"/>
  <c r="C31" i="3"/>
  <c r="R14" i="3"/>
  <c r="O5" i="3"/>
  <c r="O6" i="3" s="1"/>
  <c r="O7" i="3" s="1"/>
  <c r="O8" i="3" s="1"/>
  <c r="O9" i="3" s="1"/>
  <c r="O10" i="3" s="1"/>
  <c r="O11" i="3" s="1"/>
  <c r="O12" i="3" s="1"/>
  <c r="O13" i="3" s="1"/>
  <c r="O14" i="3" s="1"/>
  <c r="O15" i="3" s="1"/>
  <c r="O16" i="3" s="1"/>
  <c r="O17" i="3" s="1"/>
  <c r="O18" i="3" s="1"/>
  <c r="O19" i="3" s="1"/>
  <c r="O20" i="3" s="1"/>
  <c r="O21" i="3" s="1"/>
  <c r="O22" i="3" s="1"/>
  <c r="O23" i="3" s="1"/>
  <c r="T4" i="3"/>
  <c r="T3" i="3"/>
  <c r="T6" i="3" l="1"/>
  <c r="T8" i="3" s="1"/>
  <c r="Y4" i="4"/>
  <c r="T30" i="4"/>
  <c r="T31" i="4"/>
  <c r="T32" i="4"/>
  <c r="T33" i="4"/>
  <c r="T34" i="4"/>
  <c r="T35" i="4" s="1"/>
  <c r="Y3" i="4"/>
  <c r="O3" i="5"/>
  <c r="D4" i="5" l="1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3" i="5"/>
  <c r="Q4" i="4" l="1"/>
  <c r="F28" i="4" l="1"/>
  <c r="W14" i="4"/>
  <c r="T5" i="4"/>
  <c r="T6" i="4" s="1"/>
  <c r="T7" i="4" s="1"/>
  <c r="T8" i="4" s="1"/>
  <c r="T9" i="4" s="1"/>
  <c r="T10" i="4" s="1"/>
  <c r="T11" i="4" s="1"/>
  <c r="T12" i="4" s="1"/>
  <c r="T13" i="4" s="1"/>
  <c r="T14" i="4" s="1"/>
  <c r="T15" i="4" s="1"/>
  <c r="T16" i="4" s="1"/>
  <c r="T17" i="4" s="1"/>
  <c r="T18" i="4" s="1"/>
  <c r="T19" i="4" s="1"/>
  <c r="T20" i="4" s="1"/>
  <c r="T21" i="4" s="1"/>
  <c r="T22" i="4" s="1"/>
  <c r="T23" i="4" s="1"/>
  <c r="T24" i="4" s="1"/>
  <c r="T25" i="4" s="1"/>
  <c r="T26" i="4" s="1"/>
  <c r="T27" i="4" s="1"/>
  <c r="T28" i="4" s="1"/>
  <c r="T29" i="4" s="1"/>
  <c r="Y6" i="4" l="1"/>
  <c r="Y8" i="4" s="1"/>
  <c r="B28" i="4"/>
  <c r="L29" i="4"/>
  <c r="L24" i="4"/>
  <c r="L25" i="4"/>
  <c r="L26" i="4"/>
  <c r="L27" i="4" s="1"/>
  <c r="L28" i="4" s="1"/>
  <c r="O14" i="4" l="1"/>
  <c r="L5" i="4"/>
  <c r="L6" i="4" s="1"/>
  <c r="L7" i="4" s="1"/>
  <c r="L8" i="4" s="1"/>
  <c r="L9" i="4" s="1"/>
  <c r="L10" i="4" s="1"/>
  <c r="L11" i="4" s="1"/>
  <c r="L12" i="4" s="1"/>
  <c r="L13" i="4" s="1"/>
  <c r="L14" i="4" s="1"/>
  <c r="L15" i="4" s="1"/>
  <c r="L16" i="4" s="1"/>
  <c r="L17" i="4" s="1"/>
  <c r="L18" i="4" s="1"/>
  <c r="L19" i="4" s="1"/>
  <c r="L20" i="4" s="1"/>
  <c r="L21" i="4" s="1"/>
  <c r="L22" i="4" s="1"/>
  <c r="L23" i="4" s="1"/>
  <c r="B41" i="4"/>
  <c r="C41" i="4"/>
  <c r="D41" i="4"/>
  <c r="E41" i="4"/>
  <c r="F41" i="4"/>
  <c r="G41" i="4"/>
  <c r="H41" i="4"/>
  <c r="I41" i="4"/>
  <c r="A41" i="4"/>
  <c r="D1" i="4"/>
  <c r="E1" i="4" s="1"/>
  <c r="F1" i="4" s="1"/>
  <c r="G1" i="4" s="1"/>
  <c r="H1" i="4" s="1"/>
  <c r="I1" i="4" s="1"/>
  <c r="J1" i="4" s="1"/>
  <c r="K1" i="4" s="1"/>
  <c r="C2" i="4"/>
  <c r="D2" i="4"/>
  <c r="E2" i="4"/>
  <c r="C14" i="4"/>
  <c r="D14" i="4"/>
  <c r="E14" i="4"/>
  <c r="C17" i="4"/>
  <c r="D17" i="4"/>
  <c r="E17" i="4"/>
  <c r="G14" i="4"/>
  <c r="H14" i="4"/>
  <c r="I14" i="4"/>
  <c r="J14" i="4"/>
  <c r="G17" i="4"/>
  <c r="H17" i="4"/>
  <c r="I17" i="4"/>
  <c r="J17" i="4"/>
  <c r="G2" i="4"/>
  <c r="H2" i="4"/>
  <c r="I2" i="4"/>
  <c r="J2" i="4"/>
  <c r="F2" i="4"/>
  <c r="F17" i="4"/>
  <c r="F14" i="4"/>
  <c r="K14" i="3"/>
  <c r="H5" i="3"/>
  <c r="H6" i="3" s="1"/>
  <c r="H7" i="3" s="1"/>
  <c r="H8" i="3" s="1"/>
  <c r="H9" i="3" s="1"/>
  <c r="H10" i="3" s="1"/>
  <c r="H11" i="3" s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H22" i="3" s="1"/>
  <c r="H23" i="3" s="1"/>
  <c r="M4" i="3"/>
  <c r="M3" i="3"/>
  <c r="F17" i="3"/>
  <c r="E17" i="3"/>
  <c r="D17" i="3"/>
  <c r="C17" i="3"/>
  <c r="F14" i="3"/>
  <c r="E14" i="3"/>
  <c r="D14" i="3"/>
  <c r="C14" i="3"/>
  <c r="F2" i="3"/>
  <c r="E2" i="3"/>
  <c r="D2" i="3"/>
  <c r="C2" i="3"/>
  <c r="E1" i="3"/>
  <c r="F1" i="3" s="1"/>
  <c r="G1" i="3" s="1"/>
  <c r="D1" i="3"/>
  <c r="F3" i="3" l="1"/>
  <c r="F5" i="3" s="1"/>
  <c r="F6" i="3" s="1"/>
  <c r="E3" i="3"/>
  <c r="E5" i="3" s="1"/>
  <c r="E6" i="3" s="1"/>
  <c r="I3" i="4"/>
  <c r="H3" i="4"/>
  <c r="E3" i="4"/>
  <c r="D3" i="4"/>
  <c r="C3" i="4"/>
  <c r="Q6" i="4"/>
  <c r="Q8" i="4" s="1"/>
  <c r="J3" i="4"/>
  <c r="J5" i="4" s="1"/>
  <c r="J6" i="4" s="1"/>
  <c r="G3" i="4"/>
  <c r="G5" i="4" s="1"/>
  <c r="G6" i="4" s="1"/>
  <c r="F3" i="4"/>
  <c r="F5" i="4" s="1"/>
  <c r="F6" i="4" s="1"/>
  <c r="M6" i="3"/>
  <c r="M8" i="3" s="1"/>
  <c r="D3" i="3"/>
  <c r="D5" i="3" s="1"/>
  <c r="D6" i="3" s="1"/>
  <c r="C3" i="3"/>
  <c r="C5" i="3" s="1"/>
  <c r="C6" i="3" s="1"/>
  <c r="E5" i="4" l="1"/>
  <c r="E6" i="4" s="1"/>
  <c r="H5" i="4"/>
  <c r="H6" i="4" s="1"/>
  <c r="C5" i="4"/>
  <c r="C6" i="4" s="1"/>
  <c r="I5" i="4"/>
  <c r="I6" i="4" s="1"/>
  <c r="D5" i="4"/>
  <c r="D6" i="4" s="1"/>
  <c r="J2" i="2"/>
  <c r="L2" i="2"/>
  <c r="I2" i="2" l="1"/>
  <c r="K2" i="2"/>
  <c r="H2" i="2"/>
  <c r="D1" i="2"/>
  <c r="E1" i="2" s="1"/>
  <c r="F1" i="2" s="1"/>
  <c r="G1" i="2" s="1"/>
  <c r="H1" i="2" s="1"/>
  <c r="I1" i="2" s="1"/>
  <c r="J1" i="2" s="1"/>
  <c r="K1" i="2" s="1"/>
  <c r="L1" i="2" s="1"/>
  <c r="C2" i="2" l="1"/>
  <c r="D2" i="2"/>
  <c r="E2" i="2"/>
  <c r="F2" i="2"/>
  <c r="G2" i="2"/>
</calcChain>
</file>

<file path=xl/sharedStrings.xml><?xml version="1.0" encoding="utf-8"?>
<sst xmlns="http://schemas.openxmlformats.org/spreadsheetml/2006/main" count="296" uniqueCount="93">
  <si>
    <t>Worker MP</t>
  </si>
  <si>
    <t>Worker Price</t>
  </si>
  <si>
    <t>Fleet MP</t>
  </si>
  <si>
    <t>Fleet Price</t>
  </si>
  <si>
    <t>Workers Sum</t>
  </si>
  <si>
    <t>Цена продажи</t>
  </si>
  <si>
    <t>Курс BNB</t>
  </si>
  <si>
    <t>Курс ETL</t>
  </si>
  <si>
    <t>Итого купить за</t>
  </si>
  <si>
    <t>Хочу прибыли</t>
  </si>
  <si>
    <t>Комиссия в BNB</t>
  </si>
  <si>
    <t>Fleet</t>
  </si>
  <si>
    <t>Workers</t>
  </si>
  <si>
    <t>Spaceships</t>
  </si>
  <si>
    <t>Sum Price</t>
  </si>
  <si>
    <t>Fleet for price calculate</t>
  </si>
  <si>
    <t>Min Sell Price</t>
  </si>
  <si>
    <t>Other Tax</t>
  </si>
  <si>
    <t>Selling</t>
  </si>
  <si>
    <t>Fleet Sold</t>
  </si>
  <si>
    <t>Fleet Profit</t>
  </si>
  <si>
    <t>Workers MP</t>
  </si>
  <si>
    <t>Spaceship Price</t>
  </si>
  <si>
    <t>Все В ранги</t>
  </si>
  <si>
    <t>3*$B$17+2*$B$16+2*$B$15</t>
  </si>
  <si>
    <t>4*$B$17+3*$B$16+3*$B$15</t>
  </si>
  <si>
    <t>6*$B$17+4*$B$16</t>
  </si>
  <si>
    <t>5*$B$17+4*$B$16+$B$15</t>
  </si>
  <si>
    <t>Sold</t>
  </si>
  <si>
    <t>5 (A rank)</t>
  </si>
  <si>
    <t>День 1</t>
  </si>
  <si>
    <t>День 2</t>
  </si>
  <si>
    <t>День 3</t>
  </si>
  <si>
    <t>День 4</t>
  </si>
  <si>
    <t>День 5</t>
  </si>
  <si>
    <t>День 6</t>
  </si>
  <si>
    <t>День 7</t>
  </si>
  <si>
    <t>День 8</t>
  </si>
  <si>
    <t>День 9</t>
  </si>
  <si>
    <t>День 10</t>
  </si>
  <si>
    <t>День 11</t>
  </si>
  <si>
    <t>День 12</t>
  </si>
  <si>
    <t>День 13</t>
  </si>
  <si>
    <t>День 14</t>
  </si>
  <si>
    <t>День 15</t>
  </si>
  <si>
    <t>День 16</t>
  </si>
  <si>
    <t>День 17</t>
  </si>
  <si>
    <t>День 18</t>
  </si>
  <si>
    <t>День 19</t>
  </si>
  <si>
    <t>День 20</t>
  </si>
  <si>
    <t>ETL</t>
  </si>
  <si>
    <t>BNB</t>
  </si>
  <si>
    <t>В долл.</t>
  </si>
  <si>
    <t>Депозит:</t>
  </si>
  <si>
    <t>Флот 1200</t>
  </si>
  <si>
    <t>6 (A rank)</t>
  </si>
  <si>
    <t>2,2 вывод</t>
  </si>
  <si>
    <t>CryptoMines</t>
  </si>
  <si>
    <t>BombCrypto</t>
  </si>
  <si>
    <t>BCOIN</t>
  </si>
  <si>
    <t>Курс BCOIN</t>
  </si>
  <si>
    <t>Купил 8 рабочих</t>
  </si>
  <si>
    <t>7 (A rank)</t>
  </si>
  <si>
    <t>6,7 вывод</t>
  </si>
  <si>
    <t>Вывел:</t>
  </si>
  <si>
    <t>День 21</t>
  </si>
  <si>
    <t>День 22</t>
  </si>
  <si>
    <t>День 23</t>
  </si>
  <si>
    <t>День 24</t>
  </si>
  <si>
    <t>6 вывод</t>
  </si>
  <si>
    <t>Прибыль в ETL</t>
  </si>
  <si>
    <t>2,38 на 1500</t>
  </si>
  <si>
    <t>День 25</t>
  </si>
  <si>
    <t>День 26</t>
  </si>
  <si>
    <t>День 27</t>
  </si>
  <si>
    <t>День 28</t>
  </si>
  <si>
    <t>День 29</t>
  </si>
  <si>
    <t>День 30</t>
  </si>
  <si>
    <t>1,6 на 900</t>
  </si>
  <si>
    <t>Цель:</t>
  </si>
  <si>
    <t>23 вывод</t>
  </si>
  <si>
    <t>Fleets</t>
  </si>
  <si>
    <t>C 1400</t>
  </si>
  <si>
    <t>B 1600</t>
  </si>
  <si>
    <t>A 1600</t>
  </si>
  <si>
    <t>A 3000</t>
  </si>
  <si>
    <t>S 3000</t>
  </si>
  <si>
    <t>Creating fleet price</t>
  </si>
  <si>
    <t>День 31</t>
  </si>
  <si>
    <t>День 32</t>
  </si>
  <si>
    <t>День 33</t>
  </si>
  <si>
    <t>День 34</t>
  </si>
  <si>
    <t>Space Crypto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</si>
</sst>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3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</cellStyleXfs>
  <cellXfs count="19">
    <xf numFmtId="0" fontId="0" fillId="0" borderId="0" xfId="0"/>
    <xf numFmtId="0" fontId="0" fillId="0" borderId="0" xfId="0" applyAlignment="1"/>
    <xf numFmtId="164" fontId="0" fillId="0" borderId="0" xfId="0" applyNumberFormat="1"/>
    <xf numFmtId="0" fontId="1" fillId="2" borderId="1" xfId="1" applyBorder="1"/>
    <xf numFmtId="164" fontId="1" fillId="2" borderId="1" xfId="1" applyNumberFormat="1" applyBorder="1"/>
    <xf numFmtId="0" fontId="0" fillId="0" borderId="0" xfId="0" applyFont="1"/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1" fontId="0" fillId="0" borderId="0" xfId="0" applyNumberFormat="1"/>
    <xf numFmtId="0" fontId="2" fillId="3" borderId="1" xfId="2" applyBorder="1"/>
    <xf numFmtId="2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1" applyAlignment="1"/>
    <xf numFmtId="0" fontId="1" fillId="2" borderId="0" xfId="1"/>
    <xf numFmtId="2" fontId="1" fillId="2" borderId="1" xfId="1" applyNumberFormat="1" applyBorder="1"/>
    <xf numFmtId="2" fontId="2" fillId="3" borderId="1" xfId="2" applyNumberFormat="1" applyBorder="1"/>
    <xf numFmtId="0" fontId="0" fillId="0" borderId="0" xfId="0" applyAlignment="1">
      <alignment horizontal="center"/>
    </xf>
  </cellXfs>
  <cellStyles count="3">
    <cellStyle name="Нейтральный" xfId="2" builtinId="28"/>
    <cellStyle name="Обычный" xfId="0" builtinId="0"/>
    <cellStyle name="Хороший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590550</xdr:colOff>
      <xdr:row>18</xdr:row>
      <xdr:rowOff>152401</xdr:rowOff>
    </xdr:from>
    <xdr:to>
      <xdr:col>3</xdr:col>
      <xdr:colOff>781050</xdr:colOff>
      <xdr:row>22</xdr:row>
      <xdr:rowOff>1</xdr:rowOff>
    </xdr:to>
    <xdr:sp macro="[0]!start_calc_c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658014C9-8B2E-4213-B2AE-3BD0AB951451}"/>
            </a:ext>
          </a:extLst>
        </xdr:cNvPr>
        <xdr:cNvSpPr/>
      </xdr:nvSpPr>
      <xdr:spPr>
        <a:xfrm>
          <a:off x="1438275" y="3581401"/>
          <a:ext cx="1885950" cy="609600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/>
            <a:t>Посчитать стоимость флотов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590550</xdr:colOff>
      <xdr:row>18</xdr:row>
      <xdr:rowOff>152401</xdr:rowOff>
    </xdr:from>
    <xdr:to>
      <xdr:col>3</xdr:col>
      <xdr:colOff>781050</xdr:colOff>
      <xdr:row>22</xdr:row>
      <xdr:rowOff>1</xdr:rowOff>
    </xdr:to>
    <xdr:sp macro="[0]!start_calc_b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DE57D317-6C95-44CA-A8C8-899B559257F0}"/>
            </a:ext>
          </a:extLst>
        </xdr:cNvPr>
        <xdr:cNvSpPr/>
      </xdr:nvSpPr>
      <xdr:spPr>
        <a:xfrm>
          <a:off x="1438275" y="3581401"/>
          <a:ext cx="1885950" cy="609600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/>
            <a:t>Посчитать стоимость флотов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590550</xdr:colOff>
      <xdr:row>23</xdr:row>
      <xdr:rowOff>152401</xdr:rowOff>
    </xdr:from>
    <xdr:to>
      <xdr:col>3</xdr:col>
      <xdr:colOff>781050</xdr:colOff>
      <xdr:row>27</xdr:row>
      <xdr:rowOff>1</xdr:rowOff>
    </xdr:to>
    <xdr:sp macro="[0]!start_calc_a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756322DF-ABC3-408F-A323-EDD5F518EC4D}"/>
            </a:ext>
          </a:extLst>
        </xdr:cNvPr>
        <xdr:cNvSpPr/>
      </xdr:nvSpPr>
      <xdr:spPr>
        <a:xfrm>
          <a:off x="1438275" y="3581401"/>
          <a:ext cx="1885950" cy="609600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/>
            <a:t>Посчитать стоимость флотов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029FE-FDDB-4690-956F-CFB4A4632279}">
  <sheetPr codeName="Лист5"/>
  <dimension ref="A1:AB36"/>
  <sheetViews>
    <sheetView tabSelected="1" topLeftCell="J1" workbookViewId="0">
      <selection activeCell="Z6" sqref="Z6"/>
    </sheetView>
  </sheetViews>
  <sheetFormatPr defaultRowHeight="15" x14ac:dyDescent="0.25"/>
  <cols>
    <col min="1" max="1" width="9.85546875" customWidth="1"/>
    <col min="5" max="5" width="13.140625" customWidth="1"/>
    <col min="9" max="9" width="10.28515625" customWidth="1"/>
    <col min="16" max="16" width="16.85546875" customWidth="1"/>
    <col min="17" max="17" width="12.140625" customWidth="1"/>
  </cols>
  <sheetData>
    <row r="1" spans="1:28" x14ac:dyDescent="0.25">
      <c r="A1" s="18" t="s">
        <v>57</v>
      </c>
      <c r="B1" s="18"/>
      <c r="C1" s="18"/>
      <c r="D1" s="18"/>
      <c r="E1" s="18"/>
      <c r="F1" s="18"/>
      <c r="G1" s="18"/>
      <c r="H1" s="18"/>
      <c r="I1" s="18"/>
      <c r="J1" s="18"/>
      <c r="M1" s="18" t="s">
        <v>58</v>
      </c>
      <c r="N1" s="18"/>
      <c r="O1" s="18"/>
      <c r="P1" s="18"/>
      <c r="Q1" s="18"/>
      <c r="R1" s="18"/>
      <c r="S1" s="18"/>
      <c r="T1" s="18"/>
      <c r="X1" t="s">
        <v>92</v>
      </c>
      <c r="Z1" t="s">
        <v>53</v>
      </c>
      <c r="AA1">
        <v>500</v>
      </c>
    </row>
    <row r="2" spans="1:28" x14ac:dyDescent="0.25">
      <c r="B2" t="s">
        <v>50</v>
      </c>
      <c r="C2" t="s">
        <v>51</v>
      </c>
      <c r="D2" t="s">
        <v>52</v>
      </c>
      <c r="F2" t="s">
        <v>7</v>
      </c>
      <c r="G2" t="s">
        <v>6</v>
      </c>
      <c r="I2" t="s">
        <v>53</v>
      </c>
      <c r="J2">
        <v>791</v>
      </c>
      <c r="N2" t="s">
        <v>59</v>
      </c>
      <c r="O2" t="s">
        <v>52</v>
      </c>
      <c r="Q2" t="s">
        <v>60</v>
      </c>
      <c r="S2" t="s">
        <v>53</v>
      </c>
      <c r="T2">
        <v>1083</v>
      </c>
      <c r="AA2">
        <v>370</v>
      </c>
      <c r="AB2">
        <v>1.34</v>
      </c>
    </row>
    <row r="3" spans="1:28" x14ac:dyDescent="0.25">
      <c r="A3" t="s">
        <v>30</v>
      </c>
      <c r="B3">
        <v>1.7190000000000001</v>
      </c>
      <c r="C3">
        <v>0.28988000000000003</v>
      </c>
      <c r="D3" s="9">
        <f>B3*F3+C3*G3</f>
        <v>397.1952</v>
      </c>
      <c r="E3" t="s">
        <v>54</v>
      </c>
      <c r="F3">
        <v>140</v>
      </c>
      <c r="G3">
        <v>540</v>
      </c>
      <c r="I3" t="s">
        <v>64</v>
      </c>
      <c r="J3">
        <f>2.2*F14+6.7*F17+6*735-1500-900+4610+4000</f>
        <v>13709.2</v>
      </c>
      <c r="M3" t="s">
        <v>30</v>
      </c>
      <c r="N3">
        <v>2.29</v>
      </c>
      <c r="O3">
        <f>N3*Q3</f>
        <v>11.335500000000001</v>
      </c>
      <c r="P3" t="s">
        <v>61</v>
      </c>
      <c r="Q3" s="11">
        <v>4.95</v>
      </c>
    </row>
    <row r="4" spans="1:28" x14ac:dyDescent="0.25">
      <c r="A4" t="s">
        <v>31</v>
      </c>
      <c r="B4">
        <v>3.9660000000000002</v>
      </c>
      <c r="C4">
        <v>0.10385</v>
      </c>
      <c r="D4" s="9">
        <f t="shared" ref="D4:D36" si="0">B4*F4+C4*G4</f>
        <v>615.47299999999996</v>
      </c>
      <c r="F4">
        <v>140</v>
      </c>
      <c r="G4">
        <v>580</v>
      </c>
      <c r="J4" s="1"/>
      <c r="M4" t="s">
        <v>31</v>
      </c>
      <c r="Q4" s="11"/>
    </row>
    <row r="5" spans="1:28" x14ac:dyDescent="0.25">
      <c r="A5" t="s">
        <v>32</v>
      </c>
      <c r="B5">
        <v>2.75</v>
      </c>
      <c r="C5">
        <v>0.06</v>
      </c>
      <c r="D5" s="9">
        <f t="shared" si="0"/>
        <v>366.6</v>
      </c>
      <c r="E5" t="s">
        <v>54</v>
      </c>
      <c r="F5">
        <v>120</v>
      </c>
      <c r="G5">
        <v>610</v>
      </c>
      <c r="M5" t="s">
        <v>32</v>
      </c>
      <c r="Q5" s="11"/>
    </row>
    <row r="6" spans="1:28" x14ac:dyDescent="0.25">
      <c r="A6" t="s">
        <v>33</v>
      </c>
      <c r="B6">
        <v>1.752</v>
      </c>
      <c r="C6">
        <v>8.8099999999999998E-2</v>
      </c>
      <c r="D6" s="9">
        <f t="shared" si="0"/>
        <v>285.02499999999998</v>
      </c>
      <c r="E6" t="s">
        <v>54</v>
      </c>
      <c r="F6">
        <v>130</v>
      </c>
      <c r="G6">
        <v>650</v>
      </c>
      <c r="I6" s="14" t="s">
        <v>79</v>
      </c>
      <c r="J6" s="15">
        <v>13500</v>
      </c>
      <c r="M6" t="s">
        <v>33</v>
      </c>
      <c r="Q6" s="11"/>
    </row>
    <row r="7" spans="1:28" x14ac:dyDescent="0.25">
      <c r="A7" t="s">
        <v>34</v>
      </c>
      <c r="B7">
        <v>2.86</v>
      </c>
      <c r="C7">
        <v>1.4370000000000001E-2</v>
      </c>
      <c r="D7" s="9">
        <f t="shared" si="0"/>
        <v>381.14050000000003</v>
      </c>
      <c r="F7">
        <v>130</v>
      </c>
      <c r="G7">
        <v>650</v>
      </c>
      <c r="M7" t="s">
        <v>34</v>
      </c>
      <c r="Q7" s="11"/>
    </row>
    <row r="8" spans="1:28" x14ac:dyDescent="0.25">
      <c r="A8" t="s">
        <v>35</v>
      </c>
      <c r="B8">
        <v>3.9830000000000001</v>
      </c>
      <c r="C8">
        <v>3.424E-2</v>
      </c>
      <c r="D8" s="9">
        <f t="shared" si="0"/>
        <v>579.53359999999998</v>
      </c>
      <c r="F8">
        <v>140</v>
      </c>
      <c r="G8">
        <v>640</v>
      </c>
      <c r="M8" t="s">
        <v>35</v>
      </c>
      <c r="Q8" s="11"/>
    </row>
    <row r="9" spans="1:28" x14ac:dyDescent="0.25">
      <c r="A9" t="s">
        <v>36</v>
      </c>
      <c r="B9">
        <v>5.4539999999999997</v>
      </c>
      <c r="C9">
        <v>3.7740000000000003E-2</v>
      </c>
      <c r="D9" s="9">
        <f t="shared" si="0"/>
        <v>786.9588</v>
      </c>
      <c r="F9">
        <v>140</v>
      </c>
      <c r="G9">
        <v>620</v>
      </c>
      <c r="M9" t="s">
        <v>36</v>
      </c>
      <c r="Q9" s="11"/>
    </row>
    <row r="10" spans="1:28" x14ac:dyDescent="0.25">
      <c r="A10" t="s">
        <v>37</v>
      </c>
      <c r="B10">
        <v>9.6349999999999998</v>
      </c>
      <c r="C10">
        <v>3.3239999999999999E-2</v>
      </c>
      <c r="D10" s="9">
        <f t="shared" si="0"/>
        <v>1562.2087999999999</v>
      </c>
      <c r="F10">
        <v>160</v>
      </c>
      <c r="G10">
        <v>620</v>
      </c>
      <c r="M10" t="s">
        <v>37</v>
      </c>
      <c r="Q10" s="11"/>
    </row>
    <row r="11" spans="1:28" x14ac:dyDescent="0.25">
      <c r="A11" t="s">
        <v>38</v>
      </c>
      <c r="B11">
        <v>14.67</v>
      </c>
      <c r="C11">
        <v>5.9740000000000001E-2</v>
      </c>
      <c r="D11" s="9">
        <f t="shared" si="0"/>
        <v>2532.1336000000001</v>
      </c>
      <c r="F11">
        <v>170</v>
      </c>
      <c r="G11">
        <v>640</v>
      </c>
      <c r="M11" t="s">
        <v>38</v>
      </c>
      <c r="Q11" s="11"/>
    </row>
    <row r="12" spans="1:28" x14ac:dyDescent="0.25">
      <c r="A12" t="s">
        <v>39</v>
      </c>
      <c r="B12">
        <v>18.77</v>
      </c>
      <c r="C12">
        <v>7.8149999999999997E-2</v>
      </c>
      <c r="D12" s="9">
        <f t="shared" si="0"/>
        <v>3429.3975</v>
      </c>
      <c r="F12">
        <v>180</v>
      </c>
      <c r="G12">
        <v>650</v>
      </c>
      <c r="M12" t="s">
        <v>39</v>
      </c>
      <c r="Q12" s="11"/>
    </row>
    <row r="13" spans="1:28" x14ac:dyDescent="0.25">
      <c r="A13" t="s">
        <v>40</v>
      </c>
      <c r="B13">
        <v>21.08</v>
      </c>
      <c r="C13">
        <v>5.28E-2</v>
      </c>
      <c r="D13" s="9">
        <f t="shared" si="0"/>
        <v>3870.6159999999995</v>
      </c>
      <c r="F13">
        <v>182</v>
      </c>
      <c r="G13">
        <v>645</v>
      </c>
    </row>
    <row r="14" spans="1:28" x14ac:dyDescent="0.25">
      <c r="A14" t="s">
        <v>41</v>
      </c>
      <c r="B14">
        <v>25.83</v>
      </c>
      <c r="C14">
        <v>6.9010000000000002E-2</v>
      </c>
      <c r="D14" s="9">
        <f t="shared" si="0"/>
        <v>4845.0959000000003</v>
      </c>
      <c r="E14" t="s">
        <v>56</v>
      </c>
      <c r="F14">
        <v>186</v>
      </c>
      <c r="G14">
        <v>590</v>
      </c>
    </row>
    <row r="15" spans="1:28" x14ac:dyDescent="0.25">
      <c r="A15" t="s">
        <v>42</v>
      </c>
      <c r="B15">
        <v>23</v>
      </c>
      <c r="C15">
        <v>0.52880000000000005</v>
      </c>
      <c r="D15" s="9">
        <f t="shared" si="0"/>
        <v>5136.7039999999997</v>
      </c>
      <c r="F15">
        <v>210</v>
      </c>
      <c r="G15">
        <v>580</v>
      </c>
    </row>
    <row r="16" spans="1:28" x14ac:dyDescent="0.25">
      <c r="A16" t="s">
        <v>43</v>
      </c>
      <c r="B16">
        <v>19.72</v>
      </c>
      <c r="C16">
        <v>0.50402000000000002</v>
      </c>
      <c r="D16" s="9">
        <f t="shared" si="0"/>
        <v>6003.0672799999993</v>
      </c>
      <c r="F16">
        <v>290</v>
      </c>
      <c r="G16">
        <v>564</v>
      </c>
    </row>
    <row r="17" spans="1:7" x14ac:dyDescent="0.25">
      <c r="A17" t="s">
        <v>44</v>
      </c>
      <c r="B17">
        <v>10.61</v>
      </c>
      <c r="C17">
        <v>0.47988999999999998</v>
      </c>
      <c r="D17" s="9">
        <f t="shared" si="0"/>
        <v>4512.7384000000002</v>
      </c>
      <c r="E17" t="s">
        <v>63</v>
      </c>
      <c r="F17">
        <v>400</v>
      </c>
      <c r="G17">
        <v>560</v>
      </c>
    </row>
    <row r="18" spans="1:7" x14ac:dyDescent="0.25">
      <c r="A18" t="s">
        <v>45</v>
      </c>
      <c r="B18">
        <v>8.9</v>
      </c>
      <c r="C18">
        <v>0.46817999999999999</v>
      </c>
      <c r="D18" s="9">
        <f t="shared" si="0"/>
        <v>4632.5443999999998</v>
      </c>
      <c r="F18">
        <v>490</v>
      </c>
      <c r="G18">
        <v>580</v>
      </c>
    </row>
    <row r="19" spans="1:7" x14ac:dyDescent="0.25">
      <c r="A19" t="s">
        <v>46</v>
      </c>
      <c r="B19">
        <v>12</v>
      </c>
      <c r="C19">
        <v>4.3279999999999999E-2</v>
      </c>
      <c r="D19" s="9">
        <f t="shared" si="0"/>
        <v>5725.1023999999998</v>
      </c>
      <c r="F19">
        <v>475</v>
      </c>
      <c r="G19">
        <v>580</v>
      </c>
    </row>
    <row r="20" spans="1:7" x14ac:dyDescent="0.25">
      <c r="A20" t="s">
        <v>47</v>
      </c>
      <c r="B20">
        <v>20.260000000000002</v>
      </c>
      <c r="C20">
        <v>0.23555000000000001</v>
      </c>
      <c r="D20" s="9">
        <f t="shared" si="0"/>
        <v>9251.2634999999991</v>
      </c>
      <c r="F20">
        <v>450</v>
      </c>
      <c r="G20">
        <v>570</v>
      </c>
    </row>
    <row r="21" spans="1:7" x14ac:dyDescent="0.25">
      <c r="A21" t="s">
        <v>48</v>
      </c>
      <c r="B21">
        <v>21.27</v>
      </c>
      <c r="C21">
        <v>0.41016999999999998</v>
      </c>
      <c r="D21" s="9">
        <f t="shared" si="0"/>
        <v>11077.395199999999</v>
      </c>
      <c r="F21">
        <v>510</v>
      </c>
      <c r="G21">
        <v>560</v>
      </c>
    </row>
    <row r="22" spans="1:7" x14ac:dyDescent="0.25">
      <c r="A22" t="s">
        <v>49</v>
      </c>
      <c r="B22">
        <v>21.4</v>
      </c>
      <c r="C22">
        <v>4.2869999999999998E-2</v>
      </c>
      <c r="D22" s="9">
        <f t="shared" si="0"/>
        <v>13507.293299999999</v>
      </c>
      <c r="F22">
        <v>630</v>
      </c>
      <c r="G22">
        <v>590</v>
      </c>
    </row>
    <row r="23" spans="1:7" x14ac:dyDescent="0.25">
      <c r="A23" t="s">
        <v>65</v>
      </c>
      <c r="B23">
        <v>12.32</v>
      </c>
      <c r="C23">
        <v>2.3570000000000001E-2</v>
      </c>
      <c r="D23" s="9">
        <f t="shared" si="0"/>
        <v>9747.8848000000016</v>
      </c>
      <c r="E23" t="s">
        <v>69</v>
      </c>
      <c r="F23">
        <v>790</v>
      </c>
      <c r="G23">
        <v>640</v>
      </c>
    </row>
    <row r="24" spans="1:7" x14ac:dyDescent="0.25">
      <c r="A24" t="s">
        <v>66</v>
      </c>
      <c r="B24">
        <v>14.89</v>
      </c>
      <c r="C24">
        <v>0.29816999999999999</v>
      </c>
      <c r="D24" s="9">
        <f t="shared" si="0"/>
        <v>10595.938599999999</v>
      </c>
      <c r="E24" t="s">
        <v>71</v>
      </c>
      <c r="F24">
        <v>700</v>
      </c>
      <c r="G24">
        <v>580</v>
      </c>
    </row>
    <row r="25" spans="1:7" x14ac:dyDescent="0.25">
      <c r="A25" t="s">
        <v>67</v>
      </c>
      <c r="B25">
        <v>14.51</v>
      </c>
      <c r="C25">
        <v>0.28949999999999998</v>
      </c>
      <c r="D25" s="9">
        <f t="shared" si="0"/>
        <v>10913.994999999999</v>
      </c>
      <c r="F25">
        <v>740</v>
      </c>
      <c r="G25">
        <v>610</v>
      </c>
    </row>
    <row r="26" spans="1:7" x14ac:dyDescent="0.25">
      <c r="A26" t="s">
        <v>68</v>
      </c>
      <c r="B26">
        <v>16.399999999999999</v>
      </c>
      <c r="C26">
        <v>0.14743000000000001</v>
      </c>
      <c r="D26" s="9">
        <f t="shared" si="0"/>
        <v>11894.983699999999</v>
      </c>
      <c r="F26">
        <v>720</v>
      </c>
      <c r="G26">
        <v>590</v>
      </c>
    </row>
    <row r="27" spans="1:7" x14ac:dyDescent="0.25">
      <c r="A27" t="s">
        <v>72</v>
      </c>
      <c r="B27">
        <v>20.64</v>
      </c>
      <c r="C27">
        <v>0.16558</v>
      </c>
      <c r="D27" s="9">
        <f t="shared" si="0"/>
        <v>14549.0038</v>
      </c>
      <c r="F27">
        <v>700</v>
      </c>
      <c r="G27">
        <v>610</v>
      </c>
    </row>
    <row r="28" spans="1:7" x14ac:dyDescent="0.25">
      <c r="A28" t="s">
        <v>73</v>
      </c>
      <c r="B28">
        <v>29.24</v>
      </c>
      <c r="C28">
        <v>0.15642</v>
      </c>
      <c r="D28" s="9">
        <f t="shared" si="0"/>
        <v>12376.216199999999</v>
      </c>
      <c r="E28" t="s">
        <v>78</v>
      </c>
      <c r="F28">
        <v>420</v>
      </c>
      <c r="G28">
        <v>610</v>
      </c>
    </row>
    <row r="29" spans="1:7" x14ac:dyDescent="0.25">
      <c r="A29" t="s">
        <v>74</v>
      </c>
      <c r="B29">
        <v>8.92</v>
      </c>
      <c r="C29">
        <v>6.9320000000000007E-2</v>
      </c>
      <c r="D29" s="9">
        <f t="shared" si="0"/>
        <v>1471.5648000000001</v>
      </c>
      <c r="E29" t="s">
        <v>80</v>
      </c>
      <c r="F29">
        <v>160</v>
      </c>
      <c r="G29">
        <v>640</v>
      </c>
    </row>
    <row r="30" spans="1:7" x14ac:dyDescent="0.25">
      <c r="A30" t="s">
        <v>75</v>
      </c>
      <c r="B30">
        <v>12.4</v>
      </c>
      <c r="C30">
        <v>4.095E-2</v>
      </c>
      <c r="D30" s="9">
        <f t="shared" si="0"/>
        <v>769.79849999999999</v>
      </c>
      <c r="F30">
        <v>60</v>
      </c>
      <c r="G30">
        <v>630</v>
      </c>
    </row>
    <row r="31" spans="1:7" x14ac:dyDescent="0.25">
      <c r="A31" t="s">
        <v>76</v>
      </c>
      <c r="B31">
        <v>12.4</v>
      </c>
      <c r="C31">
        <v>4.095E-2</v>
      </c>
      <c r="D31" s="9">
        <f t="shared" si="0"/>
        <v>893.38900000000001</v>
      </c>
      <c r="F31">
        <v>70</v>
      </c>
      <c r="G31">
        <v>620</v>
      </c>
    </row>
    <row r="32" spans="1:7" x14ac:dyDescent="0.25">
      <c r="A32" t="s">
        <v>77</v>
      </c>
      <c r="B32">
        <v>14.39</v>
      </c>
      <c r="C32">
        <v>5.3940000000000002E-2</v>
      </c>
      <c r="D32" s="9">
        <f t="shared" si="0"/>
        <v>1036.4276</v>
      </c>
      <c r="F32">
        <v>70</v>
      </c>
      <c r="G32">
        <v>540</v>
      </c>
    </row>
    <row r="33" spans="1:7" x14ac:dyDescent="0.25">
      <c r="A33" t="s">
        <v>88</v>
      </c>
      <c r="B33">
        <v>17.3</v>
      </c>
      <c r="C33">
        <v>4.3310000000000001E-2</v>
      </c>
      <c r="D33" s="9">
        <f t="shared" si="0"/>
        <v>716.68669999999997</v>
      </c>
      <c r="F33">
        <v>40</v>
      </c>
      <c r="G33">
        <v>570</v>
      </c>
    </row>
    <row r="34" spans="1:7" x14ac:dyDescent="0.25">
      <c r="A34" t="s">
        <v>89</v>
      </c>
      <c r="B34">
        <v>17.3</v>
      </c>
      <c r="C34">
        <v>4.3310000000000001E-2</v>
      </c>
      <c r="D34" s="9">
        <f t="shared" si="0"/>
        <v>371.1198</v>
      </c>
      <c r="F34">
        <v>20</v>
      </c>
      <c r="G34">
        <v>580</v>
      </c>
    </row>
    <row r="35" spans="1:7" x14ac:dyDescent="0.25">
      <c r="A35" t="s">
        <v>90</v>
      </c>
      <c r="D35" s="9">
        <f t="shared" si="0"/>
        <v>0</v>
      </c>
    </row>
    <row r="36" spans="1:7" x14ac:dyDescent="0.25">
      <c r="A36" t="s">
        <v>91</v>
      </c>
      <c r="D36" s="9">
        <f t="shared" si="0"/>
        <v>0</v>
      </c>
    </row>
  </sheetData>
  <mergeCells count="2">
    <mergeCell ref="A1:J1"/>
    <mergeCell ref="M1:T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90"/>
  <sheetViews>
    <sheetView workbookViewId="0">
      <selection activeCell="E10" sqref="E10"/>
    </sheetView>
  </sheetViews>
  <sheetFormatPr defaultRowHeight="15" x14ac:dyDescent="0.25"/>
  <cols>
    <col min="1" max="15" width="12.7109375" customWidth="1"/>
    <col min="16" max="16" width="13.5703125" customWidth="1"/>
    <col min="17" max="17" width="9.5703125" customWidth="1"/>
    <col min="23" max="23" width="13.85546875" customWidth="1"/>
    <col min="24" max="24" width="7.42578125" customWidth="1"/>
  </cols>
  <sheetData>
    <row r="1" spans="1:20" x14ac:dyDescent="0.25">
      <c r="A1" s="18" t="s">
        <v>12</v>
      </c>
      <c r="B1" s="18"/>
      <c r="D1" s="18" t="s">
        <v>13</v>
      </c>
      <c r="E1" s="18"/>
      <c r="G1" s="18" t="s">
        <v>81</v>
      </c>
      <c r="H1" s="18"/>
    </row>
    <row r="2" spans="1:20" x14ac:dyDescent="0.25">
      <c r="A2">
        <v>51</v>
      </c>
      <c r="B2">
        <v>0.22</v>
      </c>
      <c r="D2">
        <v>1</v>
      </c>
      <c r="E2">
        <v>0.12</v>
      </c>
      <c r="G2" t="s">
        <v>81</v>
      </c>
      <c r="H2" t="s">
        <v>14</v>
      </c>
      <c r="I2" t="s">
        <v>16</v>
      </c>
    </row>
    <row r="3" spans="1:20" x14ac:dyDescent="0.25">
      <c r="A3">
        <v>61</v>
      </c>
      <c r="B3">
        <v>0.23</v>
      </c>
      <c r="D3">
        <v>2</v>
      </c>
      <c r="E3">
        <v>0.2</v>
      </c>
      <c r="G3" t="s">
        <v>82</v>
      </c>
      <c r="H3" s="16">
        <f>F18</f>
        <v>10.120000000000001</v>
      </c>
      <c r="I3" s="17">
        <f t="shared" ref="I3:I6" si="0">H3*1.18</f>
        <v>11.941600000000001</v>
      </c>
    </row>
    <row r="4" spans="1:20" x14ac:dyDescent="0.25">
      <c r="A4">
        <v>71</v>
      </c>
      <c r="B4">
        <v>0.25</v>
      </c>
      <c r="D4">
        <v>3</v>
      </c>
      <c r="E4">
        <v>0.4</v>
      </c>
      <c r="G4" t="s">
        <v>83</v>
      </c>
      <c r="H4" s="16">
        <f>M18</f>
        <v>12.514000000000005</v>
      </c>
      <c r="I4" s="17">
        <f t="shared" si="0"/>
        <v>14.766520000000005</v>
      </c>
    </row>
    <row r="5" spans="1:20" x14ac:dyDescent="0.25">
      <c r="A5">
        <v>81</v>
      </c>
      <c r="B5">
        <v>0.4</v>
      </c>
      <c r="D5">
        <v>4</v>
      </c>
      <c r="E5">
        <v>5</v>
      </c>
      <c r="G5" t="s">
        <v>84</v>
      </c>
      <c r="H5" s="16">
        <f>T18</f>
        <v>25.487000000000005</v>
      </c>
      <c r="I5" s="17">
        <f t="shared" si="0"/>
        <v>30.074660000000005</v>
      </c>
    </row>
    <row r="6" spans="1:20" x14ac:dyDescent="0.25">
      <c r="A6">
        <v>91</v>
      </c>
      <c r="B6">
        <v>0.5</v>
      </c>
      <c r="D6">
        <v>5</v>
      </c>
      <c r="E6">
        <v>30</v>
      </c>
      <c r="G6" t="s">
        <v>85</v>
      </c>
      <c r="H6" s="16">
        <f>F60</f>
        <v>42.338999999999999</v>
      </c>
      <c r="I6" s="17">
        <f t="shared" si="0"/>
        <v>49.960019999999993</v>
      </c>
    </row>
    <row r="7" spans="1:20" x14ac:dyDescent="0.25">
      <c r="A7">
        <v>101</v>
      </c>
      <c r="B7">
        <v>0.68</v>
      </c>
      <c r="G7" t="s">
        <v>86</v>
      </c>
      <c r="H7" s="16">
        <f>M60</f>
        <v>121.20800000000001</v>
      </c>
      <c r="I7" s="17">
        <f>H7*1.18</f>
        <v>143.02544</v>
      </c>
    </row>
    <row r="8" spans="1:20" x14ac:dyDescent="0.25">
      <c r="A8">
        <v>111</v>
      </c>
      <c r="B8">
        <v>0.76</v>
      </c>
      <c r="D8" s="18" t="s">
        <v>87</v>
      </c>
      <c r="E8" s="18"/>
    </row>
    <row r="9" spans="1:20" x14ac:dyDescent="0.25">
      <c r="A9">
        <v>121</v>
      </c>
      <c r="B9">
        <v>0.87</v>
      </c>
      <c r="D9" t="s">
        <v>50</v>
      </c>
      <c r="E9">
        <v>2</v>
      </c>
    </row>
    <row r="10" spans="1:20" x14ac:dyDescent="0.25">
      <c r="A10">
        <v>131</v>
      </c>
      <c r="B10">
        <v>0.98</v>
      </c>
    </row>
    <row r="11" spans="1:20" x14ac:dyDescent="0.25">
      <c r="A11">
        <v>141</v>
      </c>
      <c r="B11">
        <v>1.5</v>
      </c>
    </row>
    <row r="13" spans="1:20" x14ac:dyDescent="0.25">
      <c r="A13" t="s">
        <v>82</v>
      </c>
      <c r="B13" s="18" t="s">
        <v>15</v>
      </c>
      <c r="C13" s="18"/>
      <c r="D13" s="18"/>
      <c r="E13" s="18"/>
      <c r="F13" s="18"/>
      <c r="H13" t="s">
        <v>83</v>
      </c>
      <c r="I13" s="18" t="s">
        <v>15</v>
      </c>
      <c r="J13" s="18"/>
      <c r="K13" s="18"/>
      <c r="L13" s="18"/>
      <c r="M13" s="18"/>
      <c r="O13" t="s">
        <v>84</v>
      </c>
      <c r="P13" s="18" t="s">
        <v>15</v>
      </c>
      <c r="Q13" s="18"/>
      <c r="R13" s="18"/>
      <c r="S13" s="18"/>
      <c r="T13" s="18"/>
    </row>
    <row r="14" spans="1:20" x14ac:dyDescent="0.25">
      <c r="B14" s="18" t="s">
        <v>11</v>
      </c>
      <c r="C14" s="18"/>
      <c r="D14">
        <v>30</v>
      </c>
      <c r="E14" t="s">
        <v>2</v>
      </c>
      <c r="I14" s="18" t="s">
        <v>11</v>
      </c>
      <c r="J14" s="18"/>
      <c r="K14">
        <v>36</v>
      </c>
      <c r="L14" t="s">
        <v>2</v>
      </c>
      <c r="P14" s="18" t="s">
        <v>11</v>
      </c>
      <c r="Q14" s="18"/>
      <c r="R14">
        <v>33</v>
      </c>
      <c r="S14" t="s">
        <v>2</v>
      </c>
    </row>
    <row r="15" spans="1:20" x14ac:dyDescent="0.25">
      <c r="B15" t="s">
        <v>12</v>
      </c>
      <c r="C15" t="s">
        <v>13</v>
      </c>
      <c r="E15" t="s">
        <v>12</v>
      </c>
      <c r="F15">
        <f>SUM(B16:B35)</f>
        <v>4.9600000000000009</v>
      </c>
      <c r="I15" t="s">
        <v>12</v>
      </c>
      <c r="J15" t="s">
        <v>13</v>
      </c>
      <c r="L15" t="s">
        <v>12</v>
      </c>
      <c r="M15">
        <f>SUM(I16:I41)</f>
        <v>5.980000000000004</v>
      </c>
      <c r="P15" t="s">
        <v>12</v>
      </c>
      <c r="Q15" t="s">
        <v>13</v>
      </c>
      <c r="S15" t="s">
        <v>12</v>
      </c>
      <c r="T15">
        <f>SUM(P16:P39)</f>
        <v>5.8000000000000034</v>
      </c>
    </row>
    <row r="16" spans="1:20" x14ac:dyDescent="0.25">
      <c r="A16" s="7">
        <v>1</v>
      </c>
      <c r="B16" s="7">
        <f>$B$4</f>
        <v>0.25</v>
      </c>
      <c r="C16">
        <f>$E$3</f>
        <v>0.2</v>
      </c>
      <c r="D16">
        <v>2</v>
      </c>
      <c r="E16" t="s">
        <v>13</v>
      </c>
      <c r="F16">
        <f>SUM(C16:C25)</f>
        <v>1.9999999999999998</v>
      </c>
      <c r="H16" s="7">
        <v>1</v>
      </c>
      <c r="I16" s="7">
        <f>$B$3</f>
        <v>0.23</v>
      </c>
      <c r="J16">
        <f>$E$4</f>
        <v>0.4</v>
      </c>
      <c r="K16">
        <v>3</v>
      </c>
      <c r="L16" t="s">
        <v>13</v>
      </c>
      <c r="M16">
        <f>SUM(J16:J25)</f>
        <v>3.2000000000000006</v>
      </c>
      <c r="O16" s="7">
        <v>1</v>
      </c>
      <c r="P16" s="7">
        <f>$B$4</f>
        <v>0.25</v>
      </c>
      <c r="Q16">
        <f>$E$5</f>
        <v>5</v>
      </c>
      <c r="R16">
        <v>4</v>
      </c>
      <c r="S16" t="s">
        <v>13</v>
      </c>
      <c r="T16">
        <f>SUM(Q16:Q25)</f>
        <v>16.440000000000001</v>
      </c>
    </row>
    <row r="17" spans="1:20" x14ac:dyDescent="0.25">
      <c r="A17" s="7">
        <f>A16+1</f>
        <v>2</v>
      </c>
      <c r="B17" s="7">
        <f t="shared" ref="B17:B33" si="1">$B$4</f>
        <v>0.25</v>
      </c>
      <c r="C17">
        <f t="shared" ref="C17:C25" si="2">$E$3</f>
        <v>0.2</v>
      </c>
      <c r="D17">
        <v>2</v>
      </c>
      <c r="E17" t="s">
        <v>17</v>
      </c>
      <c r="F17" s="11">
        <f>(trade!$B$8/2*trade!$B$6/trade!$B$7)*(D14+10)+E9</f>
        <v>3.16</v>
      </c>
      <c r="H17" s="7">
        <f>H16+1</f>
        <v>2</v>
      </c>
      <c r="I17" s="7">
        <f t="shared" ref="I17:I41" si="3">$B$3</f>
        <v>0.23</v>
      </c>
      <c r="J17">
        <f t="shared" ref="J17:J21" si="4">$E$4</f>
        <v>0.4</v>
      </c>
      <c r="K17">
        <v>3</v>
      </c>
      <c r="L17" t="s">
        <v>17</v>
      </c>
      <c r="M17" s="11">
        <f>(trade!$B$8/2*trade!$B$6/trade!$B$7)*(K14+10)+E9</f>
        <v>3.3339999999999996</v>
      </c>
      <c r="O17" s="7">
        <f>O16+1</f>
        <v>2</v>
      </c>
      <c r="P17" s="7">
        <f t="shared" ref="P17:P29" si="5">$B$4</f>
        <v>0.25</v>
      </c>
      <c r="Q17">
        <f t="shared" ref="Q17:Q18" si="6">$E$5</f>
        <v>5</v>
      </c>
      <c r="R17">
        <v>4</v>
      </c>
      <c r="S17" t="s">
        <v>17</v>
      </c>
      <c r="T17" s="11">
        <f>(trade!$B$8/2*trade!$B$6/trade!$B$7)*(R14+10)+E9</f>
        <v>3.2469999999999999</v>
      </c>
    </row>
    <row r="18" spans="1:20" x14ac:dyDescent="0.25">
      <c r="A18" s="7">
        <f t="shared" ref="A18:A35" si="7">A17+1</f>
        <v>3</v>
      </c>
      <c r="B18" s="7">
        <f t="shared" si="1"/>
        <v>0.25</v>
      </c>
      <c r="C18">
        <f t="shared" si="2"/>
        <v>0.2</v>
      </c>
      <c r="D18">
        <v>2</v>
      </c>
      <c r="E18" s="3" t="s">
        <v>14</v>
      </c>
      <c r="F18" s="16">
        <f>SUM(F15:F17)</f>
        <v>10.120000000000001</v>
      </c>
      <c r="H18" s="7">
        <f t="shared" ref="H18:H41" si="8">H17+1</f>
        <v>3</v>
      </c>
      <c r="I18" s="7">
        <f t="shared" si="3"/>
        <v>0.23</v>
      </c>
      <c r="J18">
        <f t="shared" si="4"/>
        <v>0.4</v>
      </c>
      <c r="K18">
        <v>3</v>
      </c>
      <c r="L18" s="3" t="s">
        <v>14</v>
      </c>
      <c r="M18" s="16">
        <f>SUM(M15:M17)</f>
        <v>12.514000000000005</v>
      </c>
      <c r="O18" s="7">
        <f t="shared" ref="O18:O39" si="9">O17+1</f>
        <v>3</v>
      </c>
      <c r="P18" s="7">
        <f t="shared" si="5"/>
        <v>0.25</v>
      </c>
      <c r="Q18">
        <f t="shared" si="6"/>
        <v>5</v>
      </c>
      <c r="R18">
        <v>4</v>
      </c>
      <c r="S18" s="3" t="s">
        <v>14</v>
      </c>
      <c r="T18" s="16">
        <f>SUM(T15:T17)</f>
        <v>25.487000000000005</v>
      </c>
    </row>
    <row r="19" spans="1:20" x14ac:dyDescent="0.25">
      <c r="A19" s="7">
        <f t="shared" si="7"/>
        <v>4</v>
      </c>
      <c r="B19" s="7">
        <f t="shared" si="1"/>
        <v>0.25</v>
      </c>
      <c r="C19">
        <f t="shared" si="2"/>
        <v>0.2</v>
      </c>
      <c r="D19">
        <v>2</v>
      </c>
      <c r="H19" s="7">
        <f t="shared" si="8"/>
        <v>4</v>
      </c>
      <c r="I19" s="7">
        <f t="shared" si="3"/>
        <v>0.23</v>
      </c>
      <c r="J19">
        <f t="shared" si="4"/>
        <v>0.4</v>
      </c>
      <c r="K19">
        <v>3</v>
      </c>
      <c r="O19" s="7">
        <f t="shared" si="9"/>
        <v>4</v>
      </c>
      <c r="P19" s="7">
        <f t="shared" si="5"/>
        <v>0.25</v>
      </c>
      <c r="Q19">
        <f>$E$4</f>
        <v>0.4</v>
      </c>
      <c r="R19">
        <v>3</v>
      </c>
    </row>
    <row r="20" spans="1:20" x14ac:dyDescent="0.25">
      <c r="A20" s="7">
        <f t="shared" si="7"/>
        <v>5</v>
      </c>
      <c r="B20" s="7">
        <f t="shared" si="1"/>
        <v>0.25</v>
      </c>
      <c r="C20">
        <f t="shared" si="2"/>
        <v>0.2</v>
      </c>
      <c r="D20">
        <v>2</v>
      </c>
      <c r="H20" s="7">
        <f t="shared" si="8"/>
        <v>5</v>
      </c>
      <c r="I20" s="7">
        <f t="shared" si="3"/>
        <v>0.23</v>
      </c>
      <c r="J20">
        <f t="shared" si="4"/>
        <v>0.4</v>
      </c>
      <c r="K20">
        <v>3</v>
      </c>
      <c r="O20" s="7">
        <f t="shared" si="9"/>
        <v>5</v>
      </c>
      <c r="P20" s="7">
        <f t="shared" si="5"/>
        <v>0.25</v>
      </c>
      <c r="Q20">
        <f>$E$4</f>
        <v>0.4</v>
      </c>
      <c r="R20">
        <v>3</v>
      </c>
    </row>
    <row r="21" spans="1:20" x14ac:dyDescent="0.25">
      <c r="A21" s="7">
        <f t="shared" si="7"/>
        <v>6</v>
      </c>
      <c r="B21" s="7">
        <f t="shared" si="1"/>
        <v>0.25</v>
      </c>
      <c r="C21">
        <f t="shared" si="2"/>
        <v>0.2</v>
      </c>
      <c r="D21">
        <v>2</v>
      </c>
      <c r="H21" s="7">
        <f t="shared" si="8"/>
        <v>6</v>
      </c>
      <c r="I21" s="7">
        <f t="shared" si="3"/>
        <v>0.23</v>
      </c>
      <c r="J21">
        <f t="shared" si="4"/>
        <v>0.4</v>
      </c>
      <c r="K21">
        <v>3</v>
      </c>
      <c r="O21" s="7">
        <f t="shared" si="9"/>
        <v>6</v>
      </c>
      <c r="P21" s="7">
        <f t="shared" si="5"/>
        <v>0.25</v>
      </c>
      <c r="Q21">
        <f>$E$3</f>
        <v>0.2</v>
      </c>
      <c r="R21">
        <v>2</v>
      </c>
    </row>
    <row r="22" spans="1:20" x14ac:dyDescent="0.25">
      <c r="A22" s="7">
        <f t="shared" si="7"/>
        <v>7</v>
      </c>
      <c r="B22" s="7">
        <f t="shared" si="1"/>
        <v>0.25</v>
      </c>
      <c r="C22">
        <f t="shared" si="2"/>
        <v>0.2</v>
      </c>
      <c r="D22">
        <v>2</v>
      </c>
      <c r="H22" s="7">
        <f t="shared" si="8"/>
        <v>7</v>
      </c>
      <c r="I22" s="7">
        <f t="shared" si="3"/>
        <v>0.23</v>
      </c>
      <c r="J22">
        <f t="shared" ref="J22:J24" si="10">$E$3</f>
        <v>0.2</v>
      </c>
      <c r="K22">
        <v>2</v>
      </c>
      <c r="O22" s="7">
        <f t="shared" si="9"/>
        <v>7</v>
      </c>
      <c r="P22" s="7">
        <f t="shared" si="5"/>
        <v>0.25</v>
      </c>
      <c r="Q22">
        <f>$E$3</f>
        <v>0.2</v>
      </c>
      <c r="R22">
        <v>2</v>
      </c>
    </row>
    <row r="23" spans="1:20" x14ac:dyDescent="0.25">
      <c r="A23" s="7">
        <f t="shared" si="7"/>
        <v>8</v>
      </c>
      <c r="B23" s="7">
        <f t="shared" si="1"/>
        <v>0.25</v>
      </c>
      <c r="C23">
        <f t="shared" si="2"/>
        <v>0.2</v>
      </c>
      <c r="D23">
        <v>2</v>
      </c>
      <c r="H23" s="7">
        <f t="shared" si="8"/>
        <v>8</v>
      </c>
      <c r="I23" s="7">
        <f t="shared" si="3"/>
        <v>0.23</v>
      </c>
      <c r="J23">
        <f t="shared" si="10"/>
        <v>0.2</v>
      </c>
      <c r="K23">
        <v>2</v>
      </c>
      <c r="O23" s="7">
        <f t="shared" si="9"/>
        <v>8</v>
      </c>
      <c r="P23" s="7">
        <f t="shared" si="5"/>
        <v>0.25</v>
      </c>
      <c r="Q23">
        <f>$E$2</f>
        <v>0.12</v>
      </c>
      <c r="R23">
        <v>1</v>
      </c>
    </row>
    <row r="24" spans="1:20" x14ac:dyDescent="0.25">
      <c r="A24" s="7">
        <f t="shared" si="7"/>
        <v>9</v>
      </c>
      <c r="B24" s="7">
        <f t="shared" si="1"/>
        <v>0.25</v>
      </c>
      <c r="C24">
        <f t="shared" si="2"/>
        <v>0.2</v>
      </c>
      <c r="D24">
        <v>2</v>
      </c>
      <c r="H24" s="7">
        <f t="shared" si="8"/>
        <v>9</v>
      </c>
      <c r="I24" s="7">
        <f t="shared" si="3"/>
        <v>0.23</v>
      </c>
      <c r="J24">
        <f t="shared" si="10"/>
        <v>0.2</v>
      </c>
      <c r="K24">
        <v>2</v>
      </c>
      <c r="O24" s="7">
        <f t="shared" si="9"/>
        <v>9</v>
      </c>
      <c r="P24" s="7">
        <f t="shared" si="5"/>
        <v>0.25</v>
      </c>
      <c r="Q24">
        <f>$E$2</f>
        <v>0.12</v>
      </c>
      <c r="R24">
        <v>1</v>
      </c>
    </row>
    <row r="25" spans="1:20" x14ac:dyDescent="0.25">
      <c r="A25" s="7">
        <f t="shared" si="7"/>
        <v>10</v>
      </c>
      <c r="B25" s="7">
        <f t="shared" si="1"/>
        <v>0.25</v>
      </c>
      <c r="C25">
        <f t="shared" si="2"/>
        <v>0.2</v>
      </c>
      <c r="D25">
        <v>2</v>
      </c>
      <c r="H25" s="7">
        <f t="shared" si="8"/>
        <v>10</v>
      </c>
      <c r="I25" s="7">
        <f t="shared" si="3"/>
        <v>0.23</v>
      </c>
      <c r="J25">
        <f>$E$3</f>
        <v>0.2</v>
      </c>
      <c r="K25">
        <v>2</v>
      </c>
      <c r="O25" s="7">
        <f t="shared" si="9"/>
        <v>10</v>
      </c>
      <c r="P25" s="7">
        <f t="shared" si="5"/>
        <v>0.25</v>
      </c>
    </row>
    <row r="26" spans="1:20" x14ac:dyDescent="0.25">
      <c r="A26" s="7">
        <f t="shared" si="7"/>
        <v>11</v>
      </c>
      <c r="B26" s="7">
        <f t="shared" si="1"/>
        <v>0.25</v>
      </c>
      <c r="D26">
        <f>SUM(D16:D25)</f>
        <v>20</v>
      </c>
      <c r="H26" s="7">
        <f t="shared" si="8"/>
        <v>11</v>
      </c>
      <c r="I26" s="7">
        <f t="shared" si="3"/>
        <v>0.23</v>
      </c>
      <c r="K26">
        <f>SUM(K16:K25)</f>
        <v>26</v>
      </c>
      <c r="O26" s="7">
        <f t="shared" si="9"/>
        <v>11</v>
      </c>
      <c r="P26" s="7">
        <f t="shared" si="5"/>
        <v>0.25</v>
      </c>
      <c r="R26">
        <f>SUM(R16:R25)</f>
        <v>24</v>
      </c>
    </row>
    <row r="27" spans="1:20" x14ac:dyDescent="0.25">
      <c r="A27" s="7">
        <f t="shared" si="7"/>
        <v>12</v>
      </c>
      <c r="B27" s="7">
        <f t="shared" si="1"/>
        <v>0.25</v>
      </c>
      <c r="H27" s="7">
        <f t="shared" si="8"/>
        <v>12</v>
      </c>
      <c r="I27" s="7">
        <f t="shared" si="3"/>
        <v>0.23</v>
      </c>
      <c r="O27" s="7">
        <f t="shared" si="9"/>
        <v>12</v>
      </c>
      <c r="P27" s="7">
        <f t="shared" si="5"/>
        <v>0.25</v>
      </c>
    </row>
    <row r="28" spans="1:20" x14ac:dyDescent="0.25">
      <c r="A28" s="7">
        <f t="shared" si="7"/>
        <v>13</v>
      </c>
      <c r="B28" s="7">
        <f t="shared" si="1"/>
        <v>0.25</v>
      </c>
      <c r="H28" s="7">
        <f t="shared" si="8"/>
        <v>13</v>
      </c>
      <c r="I28" s="7">
        <f t="shared" si="3"/>
        <v>0.23</v>
      </c>
      <c r="O28" s="7">
        <f t="shared" si="9"/>
        <v>13</v>
      </c>
      <c r="P28" s="7">
        <f t="shared" si="5"/>
        <v>0.25</v>
      </c>
    </row>
    <row r="29" spans="1:20" x14ac:dyDescent="0.25">
      <c r="A29" s="7">
        <f t="shared" si="7"/>
        <v>14</v>
      </c>
      <c r="B29" s="7">
        <f t="shared" si="1"/>
        <v>0.25</v>
      </c>
      <c r="H29" s="7">
        <f t="shared" si="8"/>
        <v>14</v>
      </c>
      <c r="I29" s="7">
        <f t="shared" si="3"/>
        <v>0.23</v>
      </c>
      <c r="O29" s="7">
        <f t="shared" si="9"/>
        <v>14</v>
      </c>
      <c r="P29" s="7">
        <f t="shared" si="5"/>
        <v>0.25</v>
      </c>
    </row>
    <row r="30" spans="1:20" x14ac:dyDescent="0.25">
      <c r="A30" s="7">
        <f t="shared" si="7"/>
        <v>15</v>
      </c>
      <c r="B30" s="7">
        <f t="shared" si="1"/>
        <v>0.25</v>
      </c>
      <c r="H30" s="7">
        <f t="shared" si="8"/>
        <v>15</v>
      </c>
      <c r="I30" s="7">
        <f t="shared" si="3"/>
        <v>0.23</v>
      </c>
      <c r="O30" s="7">
        <f t="shared" si="9"/>
        <v>15</v>
      </c>
      <c r="P30" s="7">
        <f>$B$3</f>
        <v>0.23</v>
      </c>
    </row>
    <row r="31" spans="1:20" x14ac:dyDescent="0.25">
      <c r="A31" s="7">
        <f t="shared" si="7"/>
        <v>16</v>
      </c>
      <c r="B31" s="7">
        <f t="shared" si="1"/>
        <v>0.25</v>
      </c>
      <c r="H31" s="7">
        <f t="shared" si="8"/>
        <v>16</v>
      </c>
      <c r="I31" s="7">
        <f t="shared" si="3"/>
        <v>0.23</v>
      </c>
      <c r="O31" s="7">
        <f t="shared" si="9"/>
        <v>16</v>
      </c>
      <c r="P31" s="7">
        <f t="shared" ref="P31:P39" si="11">$B$3</f>
        <v>0.23</v>
      </c>
    </row>
    <row r="32" spans="1:20" x14ac:dyDescent="0.25">
      <c r="A32" s="7">
        <f t="shared" si="7"/>
        <v>17</v>
      </c>
      <c r="B32" s="7">
        <f t="shared" si="1"/>
        <v>0.25</v>
      </c>
      <c r="H32" s="7">
        <f t="shared" si="8"/>
        <v>17</v>
      </c>
      <c r="I32" s="7">
        <f t="shared" si="3"/>
        <v>0.23</v>
      </c>
      <c r="O32" s="7">
        <f t="shared" si="9"/>
        <v>17</v>
      </c>
      <c r="P32" s="7">
        <f t="shared" si="11"/>
        <v>0.23</v>
      </c>
    </row>
    <row r="33" spans="1:16" x14ac:dyDescent="0.25">
      <c r="A33" s="7">
        <f t="shared" si="7"/>
        <v>18</v>
      </c>
      <c r="B33" s="7">
        <f t="shared" si="1"/>
        <v>0.25</v>
      </c>
      <c r="H33" s="7">
        <f t="shared" si="8"/>
        <v>18</v>
      </c>
      <c r="I33" s="7">
        <f t="shared" si="3"/>
        <v>0.23</v>
      </c>
      <c r="O33" s="7">
        <f t="shared" si="9"/>
        <v>18</v>
      </c>
      <c r="P33" s="7">
        <f t="shared" si="11"/>
        <v>0.23</v>
      </c>
    </row>
    <row r="34" spans="1:16" x14ac:dyDescent="0.25">
      <c r="A34" s="7">
        <f t="shared" si="7"/>
        <v>19</v>
      </c>
      <c r="B34" s="7">
        <f>$B$3</f>
        <v>0.23</v>
      </c>
      <c r="H34" s="7">
        <f t="shared" si="8"/>
        <v>19</v>
      </c>
      <c r="I34" s="7">
        <f t="shared" si="3"/>
        <v>0.23</v>
      </c>
      <c r="O34" s="7">
        <f t="shared" si="9"/>
        <v>19</v>
      </c>
      <c r="P34" s="7">
        <f t="shared" si="11"/>
        <v>0.23</v>
      </c>
    </row>
    <row r="35" spans="1:16" x14ac:dyDescent="0.25">
      <c r="A35" s="7">
        <f t="shared" si="7"/>
        <v>20</v>
      </c>
      <c r="B35" s="7">
        <f>$B$3</f>
        <v>0.23</v>
      </c>
      <c r="H35" s="7">
        <f t="shared" si="8"/>
        <v>20</v>
      </c>
      <c r="I35" s="7">
        <f t="shared" si="3"/>
        <v>0.23</v>
      </c>
      <c r="O35" s="7">
        <f t="shared" si="9"/>
        <v>20</v>
      </c>
      <c r="P35" s="7">
        <f t="shared" si="11"/>
        <v>0.23</v>
      </c>
    </row>
    <row r="36" spans="1:16" x14ac:dyDescent="0.25">
      <c r="A36" s="7"/>
      <c r="B36" s="7"/>
      <c r="H36" s="7">
        <f t="shared" si="8"/>
        <v>21</v>
      </c>
      <c r="I36" s="7">
        <f t="shared" si="3"/>
        <v>0.23</v>
      </c>
      <c r="O36" s="7">
        <f t="shared" si="9"/>
        <v>21</v>
      </c>
      <c r="P36" s="7">
        <f t="shared" si="11"/>
        <v>0.23</v>
      </c>
    </row>
    <row r="37" spans="1:16" x14ac:dyDescent="0.25">
      <c r="A37" s="7"/>
      <c r="B37" s="7"/>
      <c r="H37" s="7">
        <f t="shared" si="8"/>
        <v>22</v>
      </c>
      <c r="I37" s="7">
        <f t="shared" si="3"/>
        <v>0.23</v>
      </c>
      <c r="O37" s="7">
        <f t="shared" si="9"/>
        <v>22</v>
      </c>
      <c r="P37" s="7">
        <f t="shared" si="11"/>
        <v>0.23</v>
      </c>
    </row>
    <row r="38" spans="1:16" x14ac:dyDescent="0.25">
      <c r="A38" s="7"/>
      <c r="B38" s="7"/>
      <c r="H38" s="7">
        <f t="shared" si="8"/>
        <v>23</v>
      </c>
      <c r="I38" s="7">
        <f t="shared" si="3"/>
        <v>0.23</v>
      </c>
      <c r="O38" s="7">
        <f t="shared" si="9"/>
        <v>23</v>
      </c>
      <c r="P38" s="7">
        <f t="shared" si="11"/>
        <v>0.23</v>
      </c>
    </row>
    <row r="39" spans="1:16" x14ac:dyDescent="0.25">
      <c r="A39" s="7"/>
      <c r="B39" s="7"/>
      <c r="H39" s="7">
        <f t="shared" si="8"/>
        <v>24</v>
      </c>
      <c r="I39" s="7">
        <f t="shared" si="3"/>
        <v>0.23</v>
      </c>
      <c r="O39" s="7">
        <f t="shared" si="9"/>
        <v>24</v>
      </c>
      <c r="P39" s="7">
        <f t="shared" si="11"/>
        <v>0.23</v>
      </c>
    </row>
    <row r="40" spans="1:16" x14ac:dyDescent="0.25">
      <c r="A40" s="7"/>
      <c r="B40" s="7"/>
      <c r="H40" s="7">
        <f t="shared" si="8"/>
        <v>25</v>
      </c>
      <c r="I40" s="7">
        <f t="shared" si="3"/>
        <v>0.23</v>
      </c>
      <c r="O40" s="7"/>
      <c r="P40" s="7"/>
    </row>
    <row r="41" spans="1:16" x14ac:dyDescent="0.25">
      <c r="A41" s="7"/>
      <c r="B41" s="7"/>
      <c r="H41" s="7">
        <f t="shared" si="8"/>
        <v>26</v>
      </c>
      <c r="I41" s="7">
        <f t="shared" si="3"/>
        <v>0.23</v>
      </c>
      <c r="O41" s="7"/>
      <c r="P41" s="7"/>
    </row>
    <row r="42" spans="1:16" x14ac:dyDescent="0.25">
      <c r="A42" s="7"/>
      <c r="B42" s="7"/>
      <c r="H42" s="7"/>
      <c r="I42" s="7"/>
      <c r="O42" s="7"/>
      <c r="P42" s="7"/>
    </row>
    <row r="43" spans="1:16" x14ac:dyDescent="0.25">
      <c r="A43" s="7"/>
      <c r="B43" s="7"/>
      <c r="H43" s="7"/>
      <c r="I43" s="7"/>
      <c r="O43" s="7"/>
      <c r="P43" s="7"/>
    </row>
    <row r="44" spans="1:16" x14ac:dyDescent="0.25">
      <c r="A44" s="7"/>
      <c r="B44" s="7"/>
      <c r="H44" s="7"/>
      <c r="I44" s="7"/>
      <c r="O44" s="7"/>
      <c r="P44" s="7"/>
    </row>
    <row r="45" spans="1:16" x14ac:dyDescent="0.25">
      <c r="A45" s="7"/>
      <c r="B45" s="7"/>
      <c r="H45" s="7"/>
      <c r="I45" s="7"/>
      <c r="O45" s="7"/>
      <c r="P45" s="7"/>
    </row>
    <row r="46" spans="1:16" x14ac:dyDescent="0.25">
      <c r="A46" s="7"/>
      <c r="B46" s="7"/>
      <c r="H46" s="7"/>
      <c r="I46" s="7"/>
      <c r="O46" s="7"/>
      <c r="P46" s="7"/>
    </row>
    <row r="47" spans="1:16" x14ac:dyDescent="0.25">
      <c r="A47" s="7"/>
      <c r="B47" s="7"/>
      <c r="H47" s="7"/>
      <c r="I47" s="7"/>
      <c r="O47" s="7"/>
      <c r="P47" s="7"/>
    </row>
    <row r="48" spans="1:16" x14ac:dyDescent="0.25">
      <c r="A48" s="7"/>
      <c r="B48" s="7"/>
      <c r="H48" s="7"/>
      <c r="I48" s="7"/>
      <c r="O48" s="7"/>
      <c r="P48" s="7"/>
    </row>
    <row r="49" spans="1:13" x14ac:dyDescent="0.25">
      <c r="A49" s="7"/>
      <c r="B49" s="7"/>
    </row>
    <row r="55" spans="1:13" x14ac:dyDescent="0.25">
      <c r="A55" t="s">
        <v>85</v>
      </c>
      <c r="B55" s="18" t="s">
        <v>15</v>
      </c>
      <c r="C55" s="18"/>
      <c r="D55" s="18"/>
      <c r="E55" s="18"/>
      <c r="F55" s="18"/>
      <c r="H55" t="s">
        <v>86</v>
      </c>
      <c r="I55" s="18" t="s">
        <v>15</v>
      </c>
      <c r="J55" s="18"/>
      <c r="K55" s="18"/>
      <c r="L55" s="18"/>
      <c r="M55" s="18"/>
    </row>
    <row r="56" spans="1:13" x14ac:dyDescent="0.25">
      <c r="B56" s="18" t="s">
        <v>11</v>
      </c>
      <c r="C56" s="18"/>
      <c r="D56">
        <v>41</v>
      </c>
      <c r="E56" t="s">
        <v>2</v>
      </c>
      <c r="I56" s="18" t="s">
        <v>11</v>
      </c>
      <c r="J56" s="18"/>
      <c r="K56">
        <v>42</v>
      </c>
      <c r="L56" t="s">
        <v>2</v>
      </c>
    </row>
    <row r="57" spans="1:13" x14ac:dyDescent="0.25">
      <c r="B57" t="s">
        <v>12</v>
      </c>
      <c r="C57" t="s">
        <v>13</v>
      </c>
      <c r="E57" t="s">
        <v>12</v>
      </c>
      <c r="F57">
        <f>SUM(B58:B88)</f>
        <v>17.060000000000002</v>
      </c>
      <c r="I57" t="s">
        <v>12</v>
      </c>
      <c r="J57" t="s">
        <v>13</v>
      </c>
      <c r="L57" t="s">
        <v>12</v>
      </c>
      <c r="M57">
        <f>SUM(I58:I90)</f>
        <v>16.5</v>
      </c>
    </row>
    <row r="58" spans="1:13" x14ac:dyDescent="0.25">
      <c r="A58" s="7">
        <v>1</v>
      </c>
      <c r="B58" s="7">
        <f>$B$6</f>
        <v>0.5</v>
      </c>
      <c r="C58">
        <f>$E$5</f>
        <v>5</v>
      </c>
      <c r="D58">
        <v>4</v>
      </c>
      <c r="E58" t="s">
        <v>13</v>
      </c>
      <c r="F58">
        <f>SUM(C58:C67)</f>
        <v>21.799999999999994</v>
      </c>
      <c r="H58" s="7">
        <v>1</v>
      </c>
      <c r="I58" s="7">
        <f>$B$6</f>
        <v>0.5</v>
      </c>
      <c r="J58">
        <f>$E$6</f>
        <v>30</v>
      </c>
      <c r="K58">
        <v>5</v>
      </c>
      <c r="L58" t="s">
        <v>13</v>
      </c>
      <c r="M58">
        <f>SUM(J58:J67)</f>
        <v>101.20000000000002</v>
      </c>
    </row>
    <row r="59" spans="1:13" x14ac:dyDescent="0.25">
      <c r="A59" s="7">
        <f>A58+1</f>
        <v>2</v>
      </c>
      <c r="B59" s="7">
        <f t="shared" ref="B59:B82" si="12">$B$6</f>
        <v>0.5</v>
      </c>
      <c r="C59">
        <f t="shared" ref="C59:C61" si="13">$E$5</f>
        <v>5</v>
      </c>
      <c r="D59">
        <v>4</v>
      </c>
      <c r="E59" t="s">
        <v>17</v>
      </c>
      <c r="F59" s="11">
        <f>(trade!$B$8/2*trade!$B$6/trade!$B$7)*(D56+10)+E9</f>
        <v>3.4790000000000001</v>
      </c>
      <c r="H59" s="7">
        <f>H58+1</f>
        <v>2</v>
      </c>
      <c r="I59" s="7">
        <f t="shared" ref="I59:I90" si="14">$B$6</f>
        <v>0.5</v>
      </c>
      <c r="J59">
        <f t="shared" ref="J59:J60" si="15">$E$6</f>
        <v>30</v>
      </c>
      <c r="K59">
        <v>5</v>
      </c>
      <c r="L59" t="s">
        <v>17</v>
      </c>
      <c r="M59" s="11">
        <f>(trade!$B$8/2*trade!$B$6/trade!$B$7)*(K56+10)+E9</f>
        <v>3.508</v>
      </c>
    </row>
    <row r="60" spans="1:13" x14ac:dyDescent="0.25">
      <c r="A60" s="7">
        <f t="shared" ref="A60:A88" si="16">A59+1</f>
        <v>3</v>
      </c>
      <c r="B60" s="7">
        <f t="shared" si="12"/>
        <v>0.5</v>
      </c>
      <c r="C60">
        <f t="shared" si="13"/>
        <v>5</v>
      </c>
      <c r="D60">
        <v>4</v>
      </c>
      <c r="E60" s="3" t="s">
        <v>14</v>
      </c>
      <c r="F60" s="16">
        <f>SUM(F57:F59)</f>
        <v>42.338999999999999</v>
      </c>
      <c r="H60" s="7">
        <f t="shared" ref="H60:H90" si="17">H59+1</f>
        <v>3</v>
      </c>
      <c r="I60" s="7">
        <f t="shared" si="14"/>
        <v>0.5</v>
      </c>
      <c r="J60">
        <f t="shared" si="15"/>
        <v>30</v>
      </c>
      <c r="K60">
        <v>5</v>
      </c>
      <c r="L60" s="3" t="s">
        <v>14</v>
      </c>
      <c r="M60" s="16">
        <f>SUM(M57:M59)</f>
        <v>121.20800000000001</v>
      </c>
    </row>
    <row r="61" spans="1:13" x14ac:dyDescent="0.25">
      <c r="A61" s="7">
        <f t="shared" si="16"/>
        <v>4</v>
      </c>
      <c r="B61" s="7">
        <f t="shared" si="12"/>
        <v>0.5</v>
      </c>
      <c r="C61">
        <f t="shared" si="13"/>
        <v>5</v>
      </c>
      <c r="D61">
        <v>4</v>
      </c>
      <c r="H61" s="7">
        <f t="shared" si="17"/>
        <v>4</v>
      </c>
      <c r="I61" s="7">
        <f t="shared" si="14"/>
        <v>0.5</v>
      </c>
      <c r="J61">
        <f>$E$5</f>
        <v>5</v>
      </c>
      <c r="K61">
        <v>4</v>
      </c>
    </row>
    <row r="62" spans="1:13" x14ac:dyDescent="0.25">
      <c r="A62" s="7">
        <f t="shared" si="16"/>
        <v>5</v>
      </c>
      <c r="B62" s="7">
        <f t="shared" si="12"/>
        <v>0.5</v>
      </c>
      <c r="C62">
        <f>$E$4</f>
        <v>0.4</v>
      </c>
      <c r="D62">
        <v>3</v>
      </c>
      <c r="H62" s="7">
        <f t="shared" si="17"/>
        <v>5</v>
      </c>
      <c r="I62" s="7">
        <f t="shared" si="14"/>
        <v>0.5</v>
      </c>
      <c r="J62">
        <f>$E$5</f>
        <v>5</v>
      </c>
      <c r="K62">
        <v>4</v>
      </c>
    </row>
    <row r="63" spans="1:13" x14ac:dyDescent="0.25">
      <c r="A63" s="7">
        <f t="shared" si="16"/>
        <v>6</v>
      </c>
      <c r="B63" s="7">
        <f t="shared" si="12"/>
        <v>0.5</v>
      </c>
      <c r="C63">
        <f t="shared" ref="C63:C64" si="18">$E$4</f>
        <v>0.4</v>
      </c>
      <c r="D63">
        <v>3</v>
      </c>
      <c r="H63" s="7">
        <f t="shared" si="17"/>
        <v>6</v>
      </c>
      <c r="I63" s="7">
        <f t="shared" si="14"/>
        <v>0.5</v>
      </c>
      <c r="J63">
        <f>$E$4</f>
        <v>0.4</v>
      </c>
      <c r="K63">
        <v>3</v>
      </c>
    </row>
    <row r="64" spans="1:13" x14ac:dyDescent="0.25">
      <c r="A64" s="7">
        <f t="shared" si="16"/>
        <v>7</v>
      </c>
      <c r="B64" s="7">
        <f t="shared" si="12"/>
        <v>0.5</v>
      </c>
      <c r="C64">
        <f t="shared" si="18"/>
        <v>0.4</v>
      </c>
      <c r="D64">
        <v>3</v>
      </c>
      <c r="H64" s="7">
        <f t="shared" si="17"/>
        <v>7</v>
      </c>
      <c r="I64" s="7">
        <f t="shared" si="14"/>
        <v>0.5</v>
      </c>
      <c r="J64">
        <f>$E$4</f>
        <v>0.4</v>
      </c>
      <c r="K64">
        <v>3</v>
      </c>
    </row>
    <row r="65" spans="1:11" x14ac:dyDescent="0.25">
      <c r="A65" s="7">
        <f t="shared" si="16"/>
        <v>8</v>
      </c>
      <c r="B65" s="7">
        <f t="shared" si="12"/>
        <v>0.5</v>
      </c>
      <c r="C65">
        <f>$E$3</f>
        <v>0.2</v>
      </c>
      <c r="D65">
        <v>2</v>
      </c>
      <c r="H65" s="7">
        <f t="shared" si="17"/>
        <v>8</v>
      </c>
      <c r="I65" s="7">
        <f t="shared" si="14"/>
        <v>0.5</v>
      </c>
      <c r="J65">
        <f>$E$3</f>
        <v>0.2</v>
      </c>
      <c r="K65">
        <v>2</v>
      </c>
    </row>
    <row r="66" spans="1:11" x14ac:dyDescent="0.25">
      <c r="A66" s="7">
        <f t="shared" si="16"/>
        <v>9</v>
      </c>
      <c r="B66" s="7">
        <f t="shared" si="12"/>
        <v>0.5</v>
      </c>
      <c r="C66">
        <f t="shared" ref="C66:C67" si="19">$E$3</f>
        <v>0.2</v>
      </c>
      <c r="D66">
        <v>2</v>
      </c>
      <c r="H66" s="7">
        <f t="shared" si="17"/>
        <v>9</v>
      </c>
      <c r="I66" s="7">
        <f t="shared" si="14"/>
        <v>0.5</v>
      </c>
      <c r="J66">
        <f>$E$3</f>
        <v>0.2</v>
      </c>
      <c r="K66">
        <v>2</v>
      </c>
    </row>
    <row r="67" spans="1:11" x14ac:dyDescent="0.25">
      <c r="A67" s="7">
        <f t="shared" si="16"/>
        <v>10</v>
      </c>
      <c r="B67" s="7">
        <f t="shared" si="12"/>
        <v>0.5</v>
      </c>
      <c r="C67">
        <f t="shared" si="19"/>
        <v>0.2</v>
      </c>
      <c r="D67">
        <v>2</v>
      </c>
      <c r="H67" s="7">
        <f t="shared" si="17"/>
        <v>10</v>
      </c>
      <c r="I67" s="7">
        <f t="shared" si="14"/>
        <v>0.5</v>
      </c>
    </row>
    <row r="68" spans="1:11" x14ac:dyDescent="0.25">
      <c r="A68" s="7">
        <f t="shared" si="16"/>
        <v>11</v>
      </c>
      <c r="B68" s="7">
        <f t="shared" si="12"/>
        <v>0.5</v>
      </c>
      <c r="D68">
        <f>SUM(D58:D67)</f>
        <v>31</v>
      </c>
      <c r="H68" s="7">
        <f t="shared" si="17"/>
        <v>11</v>
      </c>
      <c r="I68" s="7">
        <f t="shared" si="14"/>
        <v>0.5</v>
      </c>
      <c r="K68">
        <f>SUM(K58:K67)</f>
        <v>33</v>
      </c>
    </row>
    <row r="69" spans="1:11" x14ac:dyDescent="0.25">
      <c r="A69" s="7">
        <f t="shared" si="16"/>
        <v>12</v>
      </c>
      <c r="B69" s="7">
        <f t="shared" si="12"/>
        <v>0.5</v>
      </c>
      <c r="H69" s="7">
        <f t="shared" si="17"/>
        <v>12</v>
      </c>
      <c r="I69" s="7">
        <f t="shared" si="14"/>
        <v>0.5</v>
      </c>
    </row>
    <row r="70" spans="1:11" x14ac:dyDescent="0.25">
      <c r="A70" s="7">
        <f t="shared" si="16"/>
        <v>13</v>
      </c>
      <c r="B70" s="7">
        <f t="shared" si="12"/>
        <v>0.5</v>
      </c>
      <c r="H70" s="7">
        <f t="shared" si="17"/>
        <v>13</v>
      </c>
      <c r="I70" s="7">
        <f t="shared" si="14"/>
        <v>0.5</v>
      </c>
    </row>
    <row r="71" spans="1:11" x14ac:dyDescent="0.25">
      <c r="A71" s="7">
        <f t="shared" si="16"/>
        <v>14</v>
      </c>
      <c r="B71" s="7">
        <f t="shared" si="12"/>
        <v>0.5</v>
      </c>
      <c r="H71" s="7">
        <f t="shared" si="17"/>
        <v>14</v>
      </c>
      <c r="I71" s="7">
        <f t="shared" si="14"/>
        <v>0.5</v>
      </c>
    </row>
    <row r="72" spans="1:11" x14ac:dyDescent="0.25">
      <c r="A72" s="7">
        <f t="shared" si="16"/>
        <v>15</v>
      </c>
      <c r="B72" s="7">
        <f t="shared" si="12"/>
        <v>0.5</v>
      </c>
      <c r="H72" s="7">
        <f t="shared" si="17"/>
        <v>15</v>
      </c>
      <c r="I72" s="7">
        <f t="shared" si="14"/>
        <v>0.5</v>
      </c>
    </row>
    <row r="73" spans="1:11" x14ac:dyDescent="0.25">
      <c r="A73" s="7">
        <f t="shared" si="16"/>
        <v>16</v>
      </c>
      <c r="B73" s="7">
        <f t="shared" si="12"/>
        <v>0.5</v>
      </c>
      <c r="H73" s="7">
        <f t="shared" si="17"/>
        <v>16</v>
      </c>
      <c r="I73" s="7">
        <f t="shared" si="14"/>
        <v>0.5</v>
      </c>
    </row>
    <row r="74" spans="1:11" x14ac:dyDescent="0.25">
      <c r="A74" s="7">
        <f t="shared" si="16"/>
        <v>17</v>
      </c>
      <c r="B74" s="7">
        <f t="shared" si="12"/>
        <v>0.5</v>
      </c>
      <c r="H74" s="7">
        <f t="shared" si="17"/>
        <v>17</v>
      </c>
      <c r="I74" s="7">
        <f t="shared" si="14"/>
        <v>0.5</v>
      </c>
    </row>
    <row r="75" spans="1:11" x14ac:dyDescent="0.25">
      <c r="A75" s="7">
        <f t="shared" si="16"/>
        <v>18</v>
      </c>
      <c r="B75" s="7">
        <f t="shared" si="12"/>
        <v>0.5</v>
      </c>
      <c r="H75" s="7">
        <f t="shared" si="17"/>
        <v>18</v>
      </c>
      <c r="I75" s="7">
        <f t="shared" si="14"/>
        <v>0.5</v>
      </c>
    </row>
    <row r="76" spans="1:11" x14ac:dyDescent="0.25">
      <c r="A76" s="7">
        <f t="shared" si="16"/>
        <v>19</v>
      </c>
      <c r="B76" s="7">
        <f t="shared" si="12"/>
        <v>0.5</v>
      </c>
      <c r="H76" s="7">
        <f t="shared" si="17"/>
        <v>19</v>
      </c>
      <c r="I76" s="7">
        <f t="shared" si="14"/>
        <v>0.5</v>
      </c>
    </row>
    <row r="77" spans="1:11" x14ac:dyDescent="0.25">
      <c r="A77" s="7">
        <f t="shared" si="16"/>
        <v>20</v>
      </c>
      <c r="B77" s="7">
        <f t="shared" si="12"/>
        <v>0.5</v>
      </c>
      <c r="H77" s="7">
        <f t="shared" si="17"/>
        <v>20</v>
      </c>
      <c r="I77" s="7">
        <f t="shared" si="14"/>
        <v>0.5</v>
      </c>
    </row>
    <row r="78" spans="1:11" x14ac:dyDescent="0.25">
      <c r="A78" s="7">
        <f t="shared" si="16"/>
        <v>21</v>
      </c>
      <c r="B78" s="7">
        <f t="shared" si="12"/>
        <v>0.5</v>
      </c>
      <c r="H78" s="7">
        <f t="shared" si="17"/>
        <v>21</v>
      </c>
      <c r="I78" s="7">
        <f t="shared" si="14"/>
        <v>0.5</v>
      </c>
    </row>
    <row r="79" spans="1:11" x14ac:dyDescent="0.25">
      <c r="A79" s="7">
        <f t="shared" si="16"/>
        <v>22</v>
      </c>
      <c r="B79" s="7">
        <f t="shared" si="12"/>
        <v>0.5</v>
      </c>
      <c r="H79" s="7">
        <f t="shared" si="17"/>
        <v>22</v>
      </c>
      <c r="I79" s="7">
        <f t="shared" si="14"/>
        <v>0.5</v>
      </c>
    </row>
    <row r="80" spans="1:11" x14ac:dyDescent="0.25">
      <c r="A80" s="7">
        <f t="shared" si="16"/>
        <v>23</v>
      </c>
      <c r="B80" s="7">
        <f t="shared" si="12"/>
        <v>0.5</v>
      </c>
      <c r="H80" s="7">
        <f t="shared" si="17"/>
        <v>23</v>
      </c>
      <c r="I80" s="7">
        <f t="shared" si="14"/>
        <v>0.5</v>
      </c>
    </row>
    <row r="81" spans="1:9" x14ac:dyDescent="0.25">
      <c r="A81" s="7">
        <f t="shared" si="16"/>
        <v>24</v>
      </c>
      <c r="B81" s="7">
        <f t="shared" si="12"/>
        <v>0.5</v>
      </c>
      <c r="H81" s="7">
        <f t="shared" si="17"/>
        <v>24</v>
      </c>
      <c r="I81" s="7">
        <f t="shared" si="14"/>
        <v>0.5</v>
      </c>
    </row>
    <row r="82" spans="1:9" x14ac:dyDescent="0.25">
      <c r="A82" s="7">
        <f t="shared" si="16"/>
        <v>25</v>
      </c>
      <c r="B82" s="7">
        <f t="shared" si="12"/>
        <v>0.5</v>
      </c>
      <c r="H82" s="7">
        <f t="shared" si="17"/>
        <v>25</v>
      </c>
      <c r="I82" s="7">
        <f t="shared" si="14"/>
        <v>0.5</v>
      </c>
    </row>
    <row r="83" spans="1:9" x14ac:dyDescent="0.25">
      <c r="A83" s="7">
        <f t="shared" si="16"/>
        <v>26</v>
      </c>
      <c r="B83" s="7">
        <f>$B$8</f>
        <v>0.76</v>
      </c>
      <c r="H83" s="7">
        <f t="shared" si="17"/>
        <v>26</v>
      </c>
      <c r="I83" s="7">
        <f t="shared" si="14"/>
        <v>0.5</v>
      </c>
    </row>
    <row r="84" spans="1:9" x14ac:dyDescent="0.25">
      <c r="A84" s="7">
        <f t="shared" si="16"/>
        <v>27</v>
      </c>
      <c r="B84" s="7">
        <f t="shared" ref="B84:B88" si="20">$B$8</f>
        <v>0.76</v>
      </c>
      <c r="H84" s="7">
        <f t="shared" si="17"/>
        <v>27</v>
      </c>
      <c r="I84" s="7">
        <f t="shared" si="14"/>
        <v>0.5</v>
      </c>
    </row>
    <row r="85" spans="1:9" x14ac:dyDescent="0.25">
      <c r="A85" s="7">
        <f t="shared" si="16"/>
        <v>28</v>
      </c>
      <c r="B85" s="7">
        <f t="shared" si="20"/>
        <v>0.76</v>
      </c>
      <c r="H85" s="7">
        <f t="shared" si="17"/>
        <v>28</v>
      </c>
      <c r="I85" s="7">
        <f t="shared" si="14"/>
        <v>0.5</v>
      </c>
    </row>
    <row r="86" spans="1:9" x14ac:dyDescent="0.25">
      <c r="A86" s="7">
        <f t="shared" si="16"/>
        <v>29</v>
      </c>
      <c r="B86" s="7">
        <f t="shared" si="20"/>
        <v>0.76</v>
      </c>
      <c r="H86" s="7">
        <f t="shared" si="17"/>
        <v>29</v>
      </c>
      <c r="I86" s="7">
        <f t="shared" si="14"/>
        <v>0.5</v>
      </c>
    </row>
    <row r="87" spans="1:9" x14ac:dyDescent="0.25">
      <c r="A87" s="7">
        <f t="shared" si="16"/>
        <v>30</v>
      </c>
      <c r="B87" s="7">
        <f t="shared" si="20"/>
        <v>0.76</v>
      </c>
      <c r="H87" s="7">
        <f t="shared" si="17"/>
        <v>30</v>
      </c>
      <c r="I87" s="7">
        <f t="shared" si="14"/>
        <v>0.5</v>
      </c>
    </row>
    <row r="88" spans="1:9" x14ac:dyDescent="0.25">
      <c r="A88" s="7">
        <f t="shared" si="16"/>
        <v>31</v>
      </c>
      <c r="B88" s="7">
        <f t="shared" si="20"/>
        <v>0.76</v>
      </c>
      <c r="H88" s="7">
        <f t="shared" si="17"/>
        <v>31</v>
      </c>
      <c r="I88" s="7">
        <f t="shared" si="14"/>
        <v>0.5</v>
      </c>
    </row>
    <row r="89" spans="1:9" x14ac:dyDescent="0.25">
      <c r="A89" s="7"/>
      <c r="B89" s="7"/>
      <c r="H89" s="7">
        <f t="shared" si="17"/>
        <v>32</v>
      </c>
      <c r="I89" s="7">
        <f t="shared" si="14"/>
        <v>0.5</v>
      </c>
    </row>
    <row r="90" spans="1:9" x14ac:dyDescent="0.25">
      <c r="A90" s="7"/>
      <c r="B90" s="7"/>
      <c r="H90" s="7">
        <f t="shared" si="17"/>
        <v>33</v>
      </c>
      <c r="I90" s="7">
        <f t="shared" si="14"/>
        <v>0.5</v>
      </c>
    </row>
  </sheetData>
  <mergeCells count="14">
    <mergeCell ref="A1:B1"/>
    <mergeCell ref="D1:E1"/>
    <mergeCell ref="G1:H1"/>
    <mergeCell ref="B13:F13"/>
    <mergeCell ref="B14:C14"/>
    <mergeCell ref="D8:E8"/>
    <mergeCell ref="P13:T13"/>
    <mergeCell ref="P14:Q14"/>
    <mergeCell ref="B55:F55"/>
    <mergeCell ref="B56:C56"/>
    <mergeCell ref="I55:M55"/>
    <mergeCell ref="I56:J56"/>
    <mergeCell ref="I13:M13"/>
    <mergeCell ref="I14:J14"/>
  </mergeCells>
  <pageMargins left="0.7" right="0.7" top="0.75" bottom="0.75" header="0.3" footer="0.3"/>
  <pageSetup paperSize="9" orientation="portrait" horizontalDpi="30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97C5B-083B-4906-B56D-C98B5D6EEAA9}">
  <sheetPr codeName="Лист3"/>
  <dimension ref="A1:T31"/>
  <sheetViews>
    <sheetView zoomScaleNormal="100" workbookViewId="0">
      <selection activeCell="E30" sqref="E30"/>
    </sheetView>
  </sheetViews>
  <sheetFormatPr defaultRowHeight="15" x14ac:dyDescent="0.25"/>
  <cols>
    <col min="1" max="15" width="12.7109375" customWidth="1"/>
    <col min="16" max="16" width="13.5703125" customWidth="1"/>
    <col min="17" max="17" width="12.7109375" customWidth="1"/>
    <col min="19" max="19" width="13.42578125" customWidth="1"/>
    <col min="23" max="23" width="13.85546875" customWidth="1"/>
    <col min="24" max="24" width="7.42578125" customWidth="1"/>
  </cols>
  <sheetData>
    <row r="1" spans="1:20" x14ac:dyDescent="0.25">
      <c r="B1" t="s">
        <v>2</v>
      </c>
      <c r="C1">
        <v>1101</v>
      </c>
      <c r="D1">
        <f>C1+100</f>
        <v>1201</v>
      </c>
      <c r="E1">
        <f t="shared" ref="E1:G1" si="0">D1+100</f>
        <v>1301</v>
      </c>
      <c r="F1">
        <f t="shared" si="0"/>
        <v>1401</v>
      </c>
      <c r="G1">
        <f t="shared" si="0"/>
        <v>1501</v>
      </c>
      <c r="H1">
        <v>0.1</v>
      </c>
      <c r="I1" s="18" t="s">
        <v>15</v>
      </c>
      <c r="J1" s="18"/>
      <c r="K1" s="18"/>
      <c r="L1" s="18"/>
      <c r="M1" s="18"/>
      <c r="P1" s="18" t="s">
        <v>15</v>
      </c>
      <c r="Q1" s="18"/>
      <c r="R1" s="18"/>
      <c r="S1" s="18"/>
      <c r="T1" s="18"/>
    </row>
    <row r="2" spans="1:20" x14ac:dyDescent="0.25">
      <c r="B2" t="s">
        <v>3</v>
      </c>
      <c r="C2">
        <f>$B$8*C8+$B$9*C9+$B$10*C10+$B$11*C11+$B$12*C12</f>
        <v>0.22699999999999998</v>
      </c>
      <c r="D2">
        <f>$B$8*D8+$B$9*D9+$B$10*D10+$B$11*D11+$B$12*D12</f>
        <v>0.25700000000000001</v>
      </c>
      <c r="E2">
        <f>$B$8*E8+$B$9*E9+$B$10*E10+$B$11*E11+$B$12*E12</f>
        <v>0.31399999999999995</v>
      </c>
      <c r="F2">
        <f>$B$8*F8+$B$9*F9+$B$10*F10+$B$11*F11+$B$12*F12</f>
        <v>0.374</v>
      </c>
      <c r="I2" s="18" t="s">
        <v>11</v>
      </c>
      <c r="J2" s="18"/>
      <c r="K2">
        <v>1400</v>
      </c>
      <c r="L2" t="s">
        <v>2</v>
      </c>
      <c r="P2" s="18" t="s">
        <v>11</v>
      </c>
      <c r="Q2" s="18"/>
      <c r="R2">
        <v>1200</v>
      </c>
      <c r="S2" t="s">
        <v>2</v>
      </c>
    </row>
    <row r="3" spans="1:20" x14ac:dyDescent="0.25">
      <c r="B3" t="s">
        <v>22</v>
      </c>
      <c r="C3">
        <f>$B$15*(ROUNDUP(C17/2,0))</f>
        <v>0.14000000000000001</v>
      </c>
      <c r="D3">
        <f>$B$15*(ROUNDUP(D17/2,0))</f>
        <v>0.14000000000000001</v>
      </c>
      <c r="E3">
        <f>$B$15*(ROUNDUP(E17/2,0))</f>
        <v>0.14000000000000001</v>
      </c>
      <c r="F3">
        <f>$B$15*(ROUNDUP(F17/2,0))</f>
        <v>0.14000000000000001</v>
      </c>
      <c r="I3" t="s">
        <v>12</v>
      </c>
      <c r="J3" t="s">
        <v>13</v>
      </c>
      <c r="L3" t="s">
        <v>12</v>
      </c>
      <c r="M3">
        <f>SUM(I4:I23)</f>
        <v>1.4999999999999996</v>
      </c>
      <c r="P3" t="s">
        <v>12</v>
      </c>
      <c r="Q3" t="s">
        <v>13</v>
      </c>
      <c r="S3" t="s">
        <v>12</v>
      </c>
      <c r="T3">
        <f>SUM(P4:P23)</f>
        <v>0</v>
      </c>
    </row>
    <row r="4" spans="1:20" x14ac:dyDescent="0.25">
      <c r="B4" t="s">
        <v>17</v>
      </c>
      <c r="C4" s="2">
        <f>(trade!$B$8/2*trade!$B$6/trade!$B$7)*(ROUNDUP(C17/2,0)+C17+10)+0.07</f>
        <v>1.23</v>
      </c>
      <c r="D4" s="2">
        <f>(trade!$B$8/2*trade!$B$6/trade!$B$7)*(ROUNDUP(D17/2,0)+D17+10)+0.07</f>
        <v>1.23</v>
      </c>
      <c r="E4" s="2">
        <f>(trade!$B$8/2*trade!$B$6/trade!$B$7)*(ROUNDUP(E17/2,0)+E17+10)+0.07</f>
        <v>1.23</v>
      </c>
      <c r="F4" s="2">
        <f>(trade!$B$8/2*trade!$B$6/trade!$B$7)*(ROUNDUP(F17/2,0)+F17+10)+0.07</f>
        <v>1.23</v>
      </c>
      <c r="H4" s="7">
        <v>1</v>
      </c>
      <c r="I4" s="7">
        <v>7.4999999999999997E-2</v>
      </c>
      <c r="J4" s="7">
        <v>0.04</v>
      </c>
      <c r="K4">
        <v>2</v>
      </c>
      <c r="L4" t="s">
        <v>13</v>
      </c>
      <c r="M4">
        <f>SUM(J4:J13)</f>
        <v>0.39999999999999997</v>
      </c>
      <c r="O4" s="7">
        <v>1</v>
      </c>
      <c r="P4" s="7"/>
      <c r="Q4" s="7"/>
      <c r="R4">
        <v>2</v>
      </c>
      <c r="S4" t="s">
        <v>13</v>
      </c>
      <c r="T4">
        <f>SUM(Q4:Q13)</f>
        <v>0</v>
      </c>
    </row>
    <row r="5" spans="1:20" x14ac:dyDescent="0.25">
      <c r="B5" s="3" t="s">
        <v>14</v>
      </c>
      <c r="C5" s="4">
        <f>SUM(C2:C4)</f>
        <v>1.597</v>
      </c>
      <c r="D5" s="4">
        <f>SUM(D2:D4)</f>
        <v>1.627</v>
      </c>
      <c r="E5" s="4">
        <f>SUM(E2:E4)</f>
        <v>1.6839999999999999</v>
      </c>
      <c r="F5" s="4">
        <f>SUM(F2:F4)</f>
        <v>1.744</v>
      </c>
      <c r="H5" s="7">
        <f>H4+1</f>
        <v>2</v>
      </c>
      <c r="I5" s="7">
        <v>7.4999999999999997E-2</v>
      </c>
      <c r="J5" s="7">
        <v>0.04</v>
      </c>
      <c r="K5">
        <v>2</v>
      </c>
      <c r="L5" t="s">
        <v>17</v>
      </c>
      <c r="M5">
        <v>0.11600000000000001</v>
      </c>
      <c r="O5" s="7">
        <f>O4+1</f>
        <v>2</v>
      </c>
      <c r="P5" s="7"/>
      <c r="Q5" s="7"/>
      <c r="R5">
        <v>2</v>
      </c>
      <c r="S5" t="s">
        <v>17</v>
      </c>
      <c r="T5">
        <v>0.30299999999999999</v>
      </c>
    </row>
    <row r="6" spans="1:20" x14ac:dyDescent="0.25">
      <c r="B6" s="10" t="s">
        <v>16</v>
      </c>
      <c r="C6" s="10">
        <f>C5*1.18+$H$1</f>
        <v>1.9844599999999999</v>
      </c>
      <c r="D6" s="10">
        <f t="shared" ref="D6:F6" si="1">D5*1.18+$H$1</f>
        <v>2.01986</v>
      </c>
      <c r="E6" s="10">
        <f t="shared" si="1"/>
        <v>2.0871199999999996</v>
      </c>
      <c r="F6" s="10">
        <f t="shared" si="1"/>
        <v>2.1579199999999998</v>
      </c>
      <c r="H6" s="7">
        <f t="shared" ref="H6:H23" si="2">H5+1</f>
        <v>3</v>
      </c>
      <c r="I6" s="7">
        <v>7.4999999999999997E-2</v>
      </c>
      <c r="J6" s="7">
        <v>0.04</v>
      </c>
      <c r="K6">
        <v>2</v>
      </c>
      <c r="L6" s="3" t="s">
        <v>14</v>
      </c>
      <c r="M6" s="3">
        <f>SUM(M3:M5)</f>
        <v>2.0159999999999996</v>
      </c>
      <c r="O6" s="7">
        <f t="shared" ref="O6:O23" si="3">O5+1</f>
        <v>3</v>
      </c>
      <c r="P6" s="7"/>
      <c r="Q6" s="7"/>
      <c r="R6">
        <v>2</v>
      </c>
      <c r="S6" s="3" t="s">
        <v>14</v>
      </c>
      <c r="T6" s="3">
        <f>SUM(T3:T5)</f>
        <v>0.30299999999999999</v>
      </c>
    </row>
    <row r="7" spans="1:20" x14ac:dyDescent="0.25">
      <c r="A7" t="s">
        <v>0</v>
      </c>
      <c r="B7" t="s">
        <v>1</v>
      </c>
      <c r="C7" s="8"/>
      <c r="D7" s="8"/>
      <c r="E7" s="8"/>
      <c r="F7" s="8"/>
      <c r="H7" s="7">
        <f t="shared" si="2"/>
        <v>4</v>
      </c>
      <c r="I7" s="7">
        <v>7.4999999999999997E-2</v>
      </c>
      <c r="J7" s="7">
        <v>0.04</v>
      </c>
      <c r="K7">
        <v>2</v>
      </c>
      <c r="O7" s="7">
        <f t="shared" si="3"/>
        <v>4</v>
      </c>
      <c r="P7" s="7"/>
      <c r="Q7" s="7"/>
      <c r="R7">
        <v>2</v>
      </c>
    </row>
    <row r="8" spans="1:20" x14ac:dyDescent="0.25">
      <c r="A8">
        <v>51</v>
      </c>
      <c r="B8">
        <v>0.01</v>
      </c>
      <c r="C8" s="8">
        <v>11</v>
      </c>
      <c r="D8" s="8">
        <v>1</v>
      </c>
      <c r="E8" s="8">
        <v>0</v>
      </c>
      <c r="F8" s="8">
        <v>0</v>
      </c>
      <c r="H8" s="7">
        <f t="shared" si="2"/>
        <v>5</v>
      </c>
      <c r="I8" s="7">
        <v>7.4999999999999997E-2</v>
      </c>
      <c r="J8" s="7">
        <v>0.04</v>
      </c>
      <c r="K8">
        <v>2</v>
      </c>
      <c r="L8" s="10" t="s">
        <v>16</v>
      </c>
      <c r="M8" s="10">
        <f>M6*1.18</f>
        <v>2.3788799999999992</v>
      </c>
      <c r="O8" s="7">
        <f t="shared" si="3"/>
        <v>5</v>
      </c>
      <c r="P8" s="7"/>
      <c r="Q8" s="7"/>
      <c r="R8">
        <v>2</v>
      </c>
      <c r="S8" s="10" t="s">
        <v>16</v>
      </c>
      <c r="T8" s="10">
        <f>T6*1.25</f>
        <v>0.37874999999999998</v>
      </c>
    </row>
    <row r="9" spans="1:20" x14ac:dyDescent="0.25">
      <c r="A9">
        <v>61</v>
      </c>
      <c r="B9">
        <v>1.2999999999999999E-2</v>
      </c>
      <c r="C9" s="8">
        <v>9</v>
      </c>
      <c r="D9" s="8">
        <v>19</v>
      </c>
      <c r="E9" s="8">
        <v>11</v>
      </c>
      <c r="F9" s="8">
        <v>1</v>
      </c>
      <c r="H9" s="7">
        <f t="shared" si="2"/>
        <v>6</v>
      </c>
      <c r="I9" s="7">
        <v>7.4999999999999997E-2</v>
      </c>
      <c r="J9" s="7">
        <v>0.04</v>
      </c>
      <c r="K9">
        <v>2</v>
      </c>
      <c r="O9" s="7">
        <f t="shared" si="3"/>
        <v>6</v>
      </c>
      <c r="P9" s="7"/>
      <c r="Q9" s="7"/>
      <c r="R9">
        <v>2</v>
      </c>
    </row>
    <row r="10" spans="1:20" x14ac:dyDescent="0.25">
      <c r="A10">
        <v>71</v>
      </c>
      <c r="B10">
        <v>1.9E-2</v>
      </c>
      <c r="C10" s="8">
        <v>0</v>
      </c>
      <c r="D10" s="8">
        <v>0</v>
      </c>
      <c r="E10" s="8">
        <v>9</v>
      </c>
      <c r="F10" s="8">
        <v>19</v>
      </c>
      <c r="H10" s="7">
        <f t="shared" si="2"/>
        <v>7</v>
      </c>
      <c r="I10" s="7">
        <v>7.4999999999999997E-2</v>
      </c>
      <c r="J10" s="7">
        <v>0.04</v>
      </c>
      <c r="K10">
        <v>2</v>
      </c>
      <c r="O10" s="7">
        <f t="shared" si="3"/>
        <v>7</v>
      </c>
      <c r="P10" s="7"/>
      <c r="Q10" s="7"/>
      <c r="R10">
        <v>2</v>
      </c>
    </row>
    <row r="11" spans="1:20" x14ac:dyDescent="0.25">
      <c r="A11">
        <v>81</v>
      </c>
      <c r="B11">
        <v>0.6</v>
      </c>
      <c r="C11" s="8">
        <v>0</v>
      </c>
      <c r="D11" s="8">
        <v>0</v>
      </c>
      <c r="E11" s="8">
        <v>0</v>
      </c>
      <c r="F11" s="8">
        <v>0</v>
      </c>
      <c r="H11" s="7">
        <f t="shared" si="2"/>
        <v>8</v>
      </c>
      <c r="I11" s="7">
        <v>7.4999999999999997E-2</v>
      </c>
      <c r="J11" s="7">
        <v>0.04</v>
      </c>
      <c r="K11">
        <v>2</v>
      </c>
      <c r="O11" s="7">
        <f t="shared" si="3"/>
        <v>8</v>
      </c>
      <c r="P11" s="7"/>
      <c r="Q11" s="7"/>
      <c r="R11">
        <v>2</v>
      </c>
    </row>
    <row r="12" spans="1:20" x14ac:dyDescent="0.25">
      <c r="A12">
        <v>91</v>
      </c>
      <c r="B12">
        <v>0.1</v>
      </c>
      <c r="C12" s="8">
        <v>0</v>
      </c>
      <c r="D12" s="8">
        <v>0</v>
      </c>
      <c r="E12" s="8">
        <v>0</v>
      </c>
      <c r="F12" s="8">
        <v>0</v>
      </c>
      <c r="H12" s="7">
        <f t="shared" si="2"/>
        <v>9</v>
      </c>
      <c r="I12" s="7">
        <v>7.4999999999999997E-2</v>
      </c>
      <c r="J12" s="7">
        <v>0.04</v>
      </c>
      <c r="K12">
        <v>2</v>
      </c>
      <c r="O12" s="7">
        <f t="shared" si="3"/>
        <v>9</v>
      </c>
      <c r="P12" s="7"/>
      <c r="Q12" s="7"/>
      <c r="R12">
        <v>2</v>
      </c>
    </row>
    <row r="13" spans="1:20" x14ac:dyDescent="0.25">
      <c r="C13" s="8" t="s">
        <v>21</v>
      </c>
      <c r="D13" s="8" t="s">
        <v>21</v>
      </c>
      <c r="E13" s="8" t="s">
        <v>21</v>
      </c>
      <c r="F13" s="8" t="s">
        <v>21</v>
      </c>
      <c r="H13" s="7">
        <f t="shared" si="2"/>
        <v>10</v>
      </c>
      <c r="I13" s="7">
        <v>7.4999999999999997E-2</v>
      </c>
      <c r="J13" s="7">
        <v>0.04</v>
      </c>
      <c r="K13">
        <v>2</v>
      </c>
      <c r="O13" s="7">
        <f t="shared" si="3"/>
        <v>10</v>
      </c>
      <c r="P13" s="7"/>
      <c r="R13">
        <v>2</v>
      </c>
    </row>
    <row r="14" spans="1:20" x14ac:dyDescent="0.25">
      <c r="C14" s="8">
        <f>C8*$A$8+C9*$A$9+C10*$A$10+C11*$A$11+C12*$A$12</f>
        <v>1110</v>
      </c>
      <c r="D14" s="8">
        <f>D8*$A$8+D9*$A$9+D10*$A$10+D11*$A$11+D12*$A$12</f>
        <v>1210</v>
      </c>
      <c r="E14" s="8">
        <f>E8*$A$8+E9*$A$9+E10*$A$10+E11*$A$11+E12*$A$12</f>
        <v>1310</v>
      </c>
      <c r="F14" s="8">
        <f>F8*$A$8+F9*$A$9+F10*$A$10+F11*$A$11+F12*$A$12</f>
        <v>1410</v>
      </c>
      <c r="H14" s="7">
        <f t="shared" si="2"/>
        <v>11</v>
      </c>
      <c r="I14" s="7">
        <v>7.4999999999999997E-2</v>
      </c>
      <c r="K14">
        <f>SUM(K4:K13)</f>
        <v>20</v>
      </c>
      <c r="O14" s="7">
        <f t="shared" si="3"/>
        <v>11</v>
      </c>
      <c r="P14" s="7"/>
      <c r="R14">
        <f>SUM(R4:R13)</f>
        <v>20</v>
      </c>
    </row>
    <row r="15" spans="1:20" x14ac:dyDescent="0.25">
      <c r="A15" t="s">
        <v>13</v>
      </c>
      <c r="B15">
        <v>1.4E-2</v>
      </c>
      <c r="C15" s="8"/>
      <c r="D15" s="8"/>
      <c r="E15" s="8"/>
      <c r="F15" s="8"/>
      <c r="H15" s="7">
        <f t="shared" si="2"/>
        <v>12</v>
      </c>
      <c r="I15" s="7">
        <v>7.4999999999999997E-2</v>
      </c>
      <c r="O15" s="7">
        <f t="shared" si="3"/>
        <v>12</v>
      </c>
      <c r="P15" s="7"/>
    </row>
    <row r="16" spans="1:20" x14ac:dyDescent="0.25">
      <c r="C16" s="8" t="s">
        <v>4</v>
      </c>
      <c r="D16" s="8" t="s">
        <v>4</v>
      </c>
      <c r="E16" s="8" t="s">
        <v>4</v>
      </c>
      <c r="F16" s="8" t="s">
        <v>4</v>
      </c>
      <c r="H16" s="7">
        <f t="shared" si="2"/>
        <v>13</v>
      </c>
      <c r="I16" s="7">
        <v>7.4999999999999997E-2</v>
      </c>
      <c r="O16" s="7">
        <f t="shared" si="3"/>
        <v>13</v>
      </c>
      <c r="P16" s="7"/>
    </row>
    <row r="17" spans="1:16" x14ac:dyDescent="0.25">
      <c r="C17" s="8">
        <f t="shared" ref="C17:F17" si="4">SUM(C8:C12)</f>
        <v>20</v>
      </c>
      <c r="D17" s="8">
        <f t="shared" si="4"/>
        <v>20</v>
      </c>
      <c r="E17" s="8">
        <f t="shared" si="4"/>
        <v>20</v>
      </c>
      <c r="F17" s="8">
        <f t="shared" si="4"/>
        <v>20</v>
      </c>
      <c r="H17" s="7">
        <f t="shared" si="2"/>
        <v>14</v>
      </c>
      <c r="I17" s="7">
        <v>7.4999999999999997E-2</v>
      </c>
      <c r="O17" s="7">
        <f t="shared" si="3"/>
        <v>14</v>
      </c>
      <c r="P17" s="7"/>
    </row>
    <row r="18" spans="1:16" x14ac:dyDescent="0.25">
      <c r="H18" s="7">
        <f t="shared" si="2"/>
        <v>15</v>
      </c>
      <c r="I18" s="7">
        <v>7.4999999999999997E-2</v>
      </c>
      <c r="O18" s="7">
        <f t="shared" si="3"/>
        <v>15</v>
      </c>
      <c r="P18" s="7"/>
    </row>
    <row r="19" spans="1:16" x14ac:dyDescent="0.25">
      <c r="H19" s="7">
        <f t="shared" si="2"/>
        <v>16</v>
      </c>
      <c r="I19" s="7">
        <v>7.4999999999999997E-2</v>
      </c>
      <c r="O19" s="7">
        <f t="shared" si="3"/>
        <v>16</v>
      </c>
      <c r="P19" s="7"/>
    </row>
    <row r="20" spans="1:16" x14ac:dyDescent="0.25">
      <c r="A20" s="8"/>
      <c r="H20" s="7">
        <f t="shared" si="2"/>
        <v>17</v>
      </c>
      <c r="I20" s="7">
        <v>7.4999999999999997E-2</v>
      </c>
      <c r="O20" s="7">
        <f t="shared" si="3"/>
        <v>17</v>
      </c>
      <c r="P20" s="7"/>
    </row>
    <row r="21" spans="1:16" x14ac:dyDescent="0.25">
      <c r="H21" s="7">
        <f t="shared" si="2"/>
        <v>18</v>
      </c>
      <c r="I21" s="7">
        <v>7.4999999999999997E-2</v>
      </c>
      <c r="O21" s="7">
        <f t="shared" si="3"/>
        <v>18</v>
      </c>
    </row>
    <row r="22" spans="1:16" x14ac:dyDescent="0.25">
      <c r="H22" s="7">
        <f t="shared" si="2"/>
        <v>19</v>
      </c>
      <c r="I22" s="7">
        <v>7.4999999999999997E-2</v>
      </c>
      <c r="O22" s="7">
        <f t="shared" si="3"/>
        <v>19</v>
      </c>
    </row>
    <row r="23" spans="1:16" x14ac:dyDescent="0.25">
      <c r="H23" s="7">
        <f t="shared" si="2"/>
        <v>20</v>
      </c>
      <c r="I23" s="7">
        <v>7.4999999999999997E-2</v>
      </c>
      <c r="O23" s="7">
        <f t="shared" si="3"/>
        <v>20</v>
      </c>
    </row>
    <row r="27" spans="1:16" x14ac:dyDescent="0.25">
      <c r="A27" t="s">
        <v>18</v>
      </c>
      <c r="B27">
        <v>1</v>
      </c>
      <c r="C27">
        <f>B27+1</f>
        <v>2</v>
      </c>
      <c r="D27">
        <f t="shared" ref="D27:G27" si="5">C27+1</f>
        <v>3</v>
      </c>
      <c r="E27">
        <f t="shared" si="5"/>
        <v>4</v>
      </c>
      <c r="F27">
        <f t="shared" si="5"/>
        <v>5</v>
      </c>
      <c r="G27">
        <f t="shared" si="5"/>
        <v>6</v>
      </c>
    </row>
    <row r="28" spans="1:16" x14ac:dyDescent="0.25">
      <c r="A28" t="s">
        <v>2</v>
      </c>
      <c r="B28">
        <v>1301</v>
      </c>
      <c r="C28">
        <v>1401</v>
      </c>
    </row>
    <row r="29" spans="1:16" x14ac:dyDescent="0.25">
      <c r="A29" t="s">
        <v>3</v>
      </c>
      <c r="B29">
        <v>0.52500000000000002</v>
      </c>
      <c r="C29">
        <v>0.57999999999999996</v>
      </c>
    </row>
    <row r="30" spans="1:16" x14ac:dyDescent="0.25">
      <c r="A30" t="s">
        <v>19</v>
      </c>
      <c r="B30">
        <v>0.75</v>
      </c>
      <c r="C30">
        <v>0.79</v>
      </c>
    </row>
    <row r="31" spans="1:16" x14ac:dyDescent="0.25">
      <c r="A31" t="s">
        <v>20</v>
      </c>
      <c r="B31">
        <f>B30*0.85-B29</f>
        <v>0.11249999999999993</v>
      </c>
      <c r="C31">
        <f t="shared" ref="C31:D31" si="6">C30*0.85-C29</f>
        <v>9.1500000000000026E-2</v>
      </c>
      <c r="D31">
        <f t="shared" si="6"/>
        <v>0</v>
      </c>
    </row>
  </sheetData>
  <mergeCells count="4">
    <mergeCell ref="I1:M1"/>
    <mergeCell ref="I2:J2"/>
    <mergeCell ref="P1:T1"/>
    <mergeCell ref="P2:Q2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F1580-DB8D-47F0-AD0B-748A7B663118}">
  <sheetPr codeName="Лист4"/>
  <dimension ref="A1:Y42"/>
  <sheetViews>
    <sheetView workbookViewId="0">
      <selection activeCell="D4" sqref="D4"/>
    </sheetView>
  </sheetViews>
  <sheetFormatPr defaultRowHeight="15" x14ac:dyDescent="0.25"/>
  <cols>
    <col min="1" max="15" width="12.7109375" customWidth="1"/>
    <col min="16" max="16" width="13.5703125" customWidth="1"/>
    <col min="17" max="17" width="9.5703125" customWidth="1"/>
    <col min="23" max="23" width="13.85546875" customWidth="1"/>
    <col min="24" max="24" width="7.42578125" customWidth="1"/>
  </cols>
  <sheetData>
    <row r="1" spans="1:25" x14ac:dyDescent="0.25">
      <c r="B1" t="s">
        <v>2</v>
      </c>
      <c r="C1">
        <v>1401</v>
      </c>
      <c r="D1">
        <f>C1+100</f>
        <v>1501</v>
      </c>
      <c r="E1">
        <f t="shared" ref="E1" si="0">D1+100</f>
        <v>1601</v>
      </c>
      <c r="F1">
        <f>E1+100</f>
        <v>1701</v>
      </c>
      <c r="G1">
        <f>F1+100</f>
        <v>1801</v>
      </c>
      <c r="H1">
        <f t="shared" ref="H1" si="1">G1+100</f>
        <v>1901</v>
      </c>
      <c r="I1">
        <f t="shared" ref="I1" si="2">H1+100</f>
        <v>2001</v>
      </c>
      <c r="J1">
        <f t="shared" ref="J1" si="3">I1+100</f>
        <v>2101</v>
      </c>
      <c r="K1">
        <f t="shared" ref="K1" si="4">J1+100</f>
        <v>2201</v>
      </c>
      <c r="L1">
        <v>0.2</v>
      </c>
      <c r="M1" s="18" t="s">
        <v>15</v>
      </c>
      <c r="N1" s="18"/>
      <c r="O1" s="18"/>
      <c r="P1" s="18"/>
      <c r="Q1" s="18"/>
      <c r="U1" s="18" t="s">
        <v>15</v>
      </c>
      <c r="V1" s="18"/>
      <c r="W1" s="18"/>
      <c r="X1" s="18"/>
      <c r="Y1" s="18"/>
    </row>
    <row r="2" spans="1:25" x14ac:dyDescent="0.25">
      <c r="B2" t="s">
        <v>3</v>
      </c>
      <c r="C2">
        <f t="shared" ref="C2:J2" si="5">$B$8*C8+$B$9*C9+$B$10*C10+$B$11*C11+$B$12*C12</f>
        <v>0.80500000000000005</v>
      </c>
      <c r="D2">
        <f t="shared" si="5"/>
        <v>0.87000000000000011</v>
      </c>
      <c r="E2">
        <f t="shared" si="5"/>
        <v>0.98000000000000009</v>
      </c>
      <c r="F2">
        <f t="shared" si="5"/>
        <v>1.33</v>
      </c>
      <c r="G2">
        <f t="shared" si="5"/>
        <v>1.6800000000000002</v>
      </c>
      <c r="H2">
        <f t="shared" si="5"/>
        <v>2.0329999999999999</v>
      </c>
      <c r="I2">
        <f t="shared" si="5"/>
        <v>2.3879999999999999</v>
      </c>
      <c r="J2">
        <f t="shared" si="5"/>
        <v>2.7429999999999999</v>
      </c>
      <c r="M2" s="18" t="s">
        <v>11</v>
      </c>
      <c r="N2" s="18"/>
      <c r="O2">
        <v>1500</v>
      </c>
      <c r="P2" t="s">
        <v>2</v>
      </c>
      <c r="U2" s="18" t="s">
        <v>11</v>
      </c>
      <c r="V2" s="18"/>
      <c r="W2">
        <v>1500</v>
      </c>
      <c r="X2" t="s">
        <v>2</v>
      </c>
    </row>
    <row r="3" spans="1:25" x14ac:dyDescent="0.25">
      <c r="B3" t="s">
        <v>22</v>
      </c>
      <c r="C3">
        <f>IF(C17&lt;=9,2*$B$17+$B$16+$B$15,IF(C17&lt;=15,3*$B$17+2*$B$16+2*$B$15,IF(C17&lt;=21,4*$B$17+3*$B$16+3*$B$15,IF(C17&lt;=24,5*$B$17+4*$B$16+$B$15,IF(C17&lt;=26,6*$B$17+4*$B$16+$B$15,0)))))</f>
        <v>0.81500000000000006</v>
      </c>
      <c r="D3">
        <f t="shared" ref="D3:J3" si="6">IF(D17&lt;=9,2*$B$17+$B$16+$B$15,IF(D17&lt;=15,3*$B$17+2*$B$16+2*$B$15,IF(D17&lt;=21,4*$B$17+3*$B$16+3*$B$15,IF(D17&lt;=24,5*$B$17+4*$B$16+$B$15,IF(D17&lt;=26,6*$B$17+4*$B$16+$B$15,0)))))</f>
        <v>0.94500000000000006</v>
      </c>
      <c r="E3">
        <f t="shared" si="6"/>
        <v>0.94500000000000006</v>
      </c>
      <c r="F3">
        <f t="shared" si="6"/>
        <v>0.94500000000000006</v>
      </c>
      <c r="G3">
        <f t="shared" si="6"/>
        <v>0.94500000000000006</v>
      </c>
      <c r="H3">
        <f t="shared" si="6"/>
        <v>0.94500000000000006</v>
      </c>
      <c r="I3">
        <f t="shared" si="6"/>
        <v>0.94500000000000006</v>
      </c>
      <c r="J3">
        <f t="shared" si="6"/>
        <v>0.94500000000000006</v>
      </c>
      <c r="M3" t="s">
        <v>12</v>
      </c>
      <c r="N3" t="s">
        <v>13</v>
      </c>
      <c r="P3" t="s">
        <v>12</v>
      </c>
      <c r="Q3">
        <f>SUM(M4:M34)</f>
        <v>1.0420000000000003</v>
      </c>
      <c r="U3" t="s">
        <v>12</v>
      </c>
      <c r="V3" t="s">
        <v>13</v>
      </c>
      <c r="X3" t="s">
        <v>12</v>
      </c>
      <c r="Y3">
        <f>SUM(U4:U40)</f>
        <v>0</v>
      </c>
    </row>
    <row r="4" spans="1:25" x14ac:dyDescent="0.25">
      <c r="B4" t="s">
        <v>17</v>
      </c>
      <c r="C4" s="2">
        <f>(trade!$B$8/2*trade!$B$6/trade!$B$7)*(ROUNDUP(C17/2,0)+C17+10)+0.2</f>
        <v>1.5049999999999999</v>
      </c>
      <c r="D4" s="2">
        <f>(trade!$B$8/2*trade!$B$6/trade!$B$7)*(ROUNDUP(D17/2,0)+D17+10)+0.2</f>
        <v>1.6209999999999998</v>
      </c>
      <c r="E4" s="2">
        <f>(trade!$B$8/2*trade!$B$6/trade!$B$7)*(ROUNDUP(E17/2,0)+E17+10)+0.2</f>
        <v>1.6209999999999998</v>
      </c>
      <c r="F4" s="2">
        <f>(trade!$B$8/2*trade!$B$6/trade!$B$7)*(ROUNDUP(F17/2,0)+F17+10)+0.2</f>
        <v>1.6209999999999998</v>
      </c>
      <c r="G4" s="2">
        <f>(trade!$B$8/2*trade!$B$6/trade!$B$7)*(ROUNDUP(G17/2,0)+G17+10)+0.2</f>
        <v>1.6209999999999998</v>
      </c>
      <c r="H4" s="2">
        <f>(trade!$B$8/2*trade!$B$6/trade!$B$7)*(ROUNDUP(H17/2,0)+H17+10)+0.2</f>
        <v>1.6209999999999998</v>
      </c>
      <c r="I4" s="2">
        <f>(trade!$B$8/2*trade!$B$6/trade!$B$7)*(ROUNDUP(I17/2,0)+I17+10)+0.2</f>
        <v>1.6209999999999998</v>
      </c>
      <c r="J4" s="2">
        <f>(trade!$B$8/2*trade!$B$6/trade!$B$7)*(ROUNDUP(J17/2,0)+J17+10)+0.2</f>
        <v>1.6209999999999998</v>
      </c>
      <c r="L4" s="7">
        <v>1</v>
      </c>
      <c r="M4" s="7">
        <v>0.04</v>
      </c>
      <c r="N4">
        <v>1.3</v>
      </c>
      <c r="O4">
        <v>3</v>
      </c>
      <c r="P4" t="s">
        <v>13</v>
      </c>
      <c r="Q4">
        <f>SUM(N4:N13)</f>
        <v>7.96</v>
      </c>
      <c r="T4" s="7">
        <v>1</v>
      </c>
      <c r="U4" s="7"/>
      <c r="W4">
        <v>5</v>
      </c>
      <c r="X4" t="s">
        <v>13</v>
      </c>
      <c r="Y4">
        <f>SUM(V4:V13)</f>
        <v>0</v>
      </c>
    </row>
    <row r="5" spans="1:25" x14ac:dyDescent="0.25">
      <c r="B5" s="3" t="s">
        <v>14</v>
      </c>
      <c r="C5" s="4">
        <f t="shared" ref="C5:J5" si="7">SUM(C2:C4)</f>
        <v>3.125</v>
      </c>
      <c r="D5" s="4">
        <f t="shared" si="7"/>
        <v>3.4359999999999999</v>
      </c>
      <c r="E5" s="4">
        <f t="shared" si="7"/>
        <v>3.5460000000000003</v>
      </c>
      <c r="F5" s="4">
        <f t="shared" si="7"/>
        <v>3.8959999999999999</v>
      </c>
      <c r="G5" s="4">
        <f t="shared" si="7"/>
        <v>4.2459999999999996</v>
      </c>
      <c r="H5" s="4">
        <f t="shared" si="7"/>
        <v>4.5989999999999993</v>
      </c>
      <c r="I5" s="4">
        <f t="shared" si="7"/>
        <v>4.9539999999999997</v>
      </c>
      <c r="J5" s="4">
        <f t="shared" si="7"/>
        <v>5.3089999999999993</v>
      </c>
      <c r="L5" s="7">
        <f>L4+1</f>
        <v>2</v>
      </c>
      <c r="M5" s="7">
        <v>0.04</v>
      </c>
      <c r="N5">
        <v>1.3</v>
      </c>
      <c r="O5">
        <v>3</v>
      </c>
      <c r="P5" t="s">
        <v>17</v>
      </c>
      <c r="Q5">
        <v>0.4</v>
      </c>
      <c r="T5" s="7">
        <f>T4+1</f>
        <v>2</v>
      </c>
      <c r="U5" s="7"/>
      <c r="W5">
        <v>5</v>
      </c>
      <c r="X5" t="s">
        <v>17</v>
      </c>
      <c r="Y5">
        <v>0.41</v>
      </c>
    </row>
    <row r="6" spans="1:25" x14ac:dyDescent="0.25">
      <c r="B6" s="10" t="s">
        <v>16</v>
      </c>
      <c r="C6" s="10">
        <f>C5*1.18+$L$1</f>
        <v>3.8875000000000002</v>
      </c>
      <c r="D6" s="10">
        <f t="shared" ref="D6:J6" si="8">D5*1.18+$L$1</f>
        <v>4.25448</v>
      </c>
      <c r="E6" s="10">
        <f t="shared" si="8"/>
        <v>4.3842800000000004</v>
      </c>
      <c r="F6" s="10">
        <f t="shared" si="8"/>
        <v>4.7972799999999998</v>
      </c>
      <c r="G6" s="10">
        <f t="shared" si="8"/>
        <v>5.2102799999999991</v>
      </c>
      <c r="H6" s="10">
        <f t="shared" si="8"/>
        <v>5.6268199999999995</v>
      </c>
      <c r="I6" s="10">
        <f t="shared" si="8"/>
        <v>6.0457199999999993</v>
      </c>
      <c r="J6" s="10">
        <f t="shared" si="8"/>
        <v>6.4646199999999991</v>
      </c>
      <c r="L6" s="7">
        <f t="shared" ref="L6:L34" si="9">L5+1</f>
        <v>3</v>
      </c>
      <c r="M6" s="7">
        <v>0.04</v>
      </c>
      <c r="N6">
        <v>1.3</v>
      </c>
      <c r="O6">
        <v>3</v>
      </c>
      <c r="P6" s="3" t="s">
        <v>14</v>
      </c>
      <c r="Q6" s="3">
        <f>SUM(Q3:Q5)</f>
        <v>9.402000000000001</v>
      </c>
      <c r="T6" s="7">
        <f t="shared" ref="T6:T35" si="10">T5+1</f>
        <v>3</v>
      </c>
      <c r="U6" s="7"/>
      <c r="W6">
        <v>5</v>
      </c>
      <c r="X6" t="s">
        <v>14</v>
      </c>
      <c r="Y6">
        <f>SUM(Y3:Y5)</f>
        <v>0.41</v>
      </c>
    </row>
    <row r="7" spans="1:25" x14ac:dyDescent="0.25">
      <c r="A7" t="s">
        <v>0</v>
      </c>
      <c r="B7" t="s">
        <v>1</v>
      </c>
      <c r="C7" s="8"/>
      <c r="D7" s="8"/>
      <c r="E7" s="8"/>
      <c r="F7" s="8"/>
      <c r="L7" s="7">
        <f t="shared" si="9"/>
        <v>4</v>
      </c>
      <c r="M7" s="7">
        <v>0.04</v>
      </c>
      <c r="N7">
        <v>1.3</v>
      </c>
      <c r="O7">
        <v>3</v>
      </c>
      <c r="T7" s="7">
        <f t="shared" si="10"/>
        <v>4</v>
      </c>
      <c r="U7" s="7"/>
      <c r="W7">
        <v>3</v>
      </c>
    </row>
    <row r="8" spans="1:25" x14ac:dyDescent="0.25">
      <c r="A8">
        <v>51</v>
      </c>
      <c r="B8">
        <v>0.03</v>
      </c>
      <c r="C8" s="8">
        <v>0</v>
      </c>
      <c r="D8" s="8">
        <v>8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L8" s="7">
        <f t="shared" si="9"/>
        <v>5</v>
      </c>
      <c r="M8" s="7">
        <v>0.04</v>
      </c>
      <c r="N8">
        <v>1.3</v>
      </c>
      <c r="O8">
        <v>3</v>
      </c>
      <c r="P8" s="10" t="s">
        <v>16</v>
      </c>
      <c r="Q8" s="10">
        <f>Q6*1.18</f>
        <v>11.09436</v>
      </c>
      <c r="T8" s="7">
        <f t="shared" si="10"/>
        <v>5</v>
      </c>
      <c r="U8" s="7"/>
      <c r="W8">
        <v>3</v>
      </c>
      <c r="X8" s="3" t="s">
        <v>16</v>
      </c>
      <c r="Y8" s="3">
        <f>Y6*1.25</f>
        <v>0.51249999999999996</v>
      </c>
    </row>
    <row r="9" spans="1:25" x14ac:dyDescent="0.25">
      <c r="A9">
        <v>61</v>
      </c>
      <c r="B9">
        <v>3.5000000000000003E-2</v>
      </c>
      <c r="C9" s="8">
        <v>23</v>
      </c>
      <c r="D9" s="8">
        <v>18</v>
      </c>
      <c r="E9" s="8">
        <v>24</v>
      </c>
      <c r="F9" s="8">
        <v>14</v>
      </c>
      <c r="G9" s="8">
        <v>4</v>
      </c>
      <c r="H9" s="8">
        <v>0</v>
      </c>
      <c r="I9" s="8">
        <v>0</v>
      </c>
      <c r="J9" s="8">
        <v>0</v>
      </c>
      <c r="L9" s="7">
        <f t="shared" si="9"/>
        <v>6</v>
      </c>
      <c r="M9" s="7">
        <v>0.04</v>
      </c>
      <c r="N9">
        <v>1.3</v>
      </c>
      <c r="O9">
        <v>3</v>
      </c>
      <c r="T9" s="7">
        <f t="shared" si="10"/>
        <v>6</v>
      </c>
      <c r="U9" s="7"/>
      <c r="W9">
        <v>2</v>
      </c>
    </row>
    <row r="10" spans="1:25" x14ac:dyDescent="0.25">
      <c r="A10">
        <v>71</v>
      </c>
      <c r="B10">
        <v>7.0000000000000007E-2</v>
      </c>
      <c r="C10" s="8">
        <v>0</v>
      </c>
      <c r="D10" s="8">
        <v>0</v>
      </c>
      <c r="E10" s="8">
        <v>2</v>
      </c>
      <c r="F10" s="8">
        <v>12</v>
      </c>
      <c r="G10" s="8">
        <v>22</v>
      </c>
      <c r="H10" s="8">
        <v>23</v>
      </c>
      <c r="I10" s="8">
        <v>18</v>
      </c>
      <c r="J10" s="8">
        <v>13</v>
      </c>
      <c r="L10" s="7">
        <f t="shared" si="9"/>
        <v>7</v>
      </c>
      <c r="M10" s="7">
        <v>0.04</v>
      </c>
      <c r="N10">
        <v>0.04</v>
      </c>
      <c r="O10">
        <v>2</v>
      </c>
      <c r="T10" s="7">
        <f t="shared" si="10"/>
        <v>7</v>
      </c>
      <c r="U10" s="7"/>
      <c r="W10">
        <v>2</v>
      </c>
    </row>
    <row r="11" spans="1:25" x14ac:dyDescent="0.25">
      <c r="A11">
        <v>81</v>
      </c>
      <c r="B11">
        <v>0.13</v>
      </c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8">
        <v>0</v>
      </c>
      <c r="I11" s="8">
        <v>0</v>
      </c>
      <c r="J11" s="8">
        <v>0</v>
      </c>
      <c r="L11" s="7">
        <f t="shared" si="9"/>
        <v>8</v>
      </c>
      <c r="M11" s="7">
        <v>0.04</v>
      </c>
      <c r="N11">
        <v>0.04</v>
      </c>
      <c r="O11">
        <v>2</v>
      </c>
      <c r="T11" s="7">
        <f t="shared" si="10"/>
        <v>8</v>
      </c>
      <c r="U11" s="7"/>
      <c r="W11">
        <v>1</v>
      </c>
    </row>
    <row r="12" spans="1:25" x14ac:dyDescent="0.25">
      <c r="A12">
        <v>91</v>
      </c>
      <c r="B12">
        <v>0.14099999999999999</v>
      </c>
      <c r="C12" s="8">
        <v>0</v>
      </c>
      <c r="D12" s="8">
        <v>0</v>
      </c>
      <c r="E12" s="8">
        <v>0</v>
      </c>
      <c r="F12" s="8">
        <v>0</v>
      </c>
      <c r="G12" s="8">
        <v>0</v>
      </c>
      <c r="H12" s="8">
        <v>3</v>
      </c>
      <c r="I12" s="8">
        <v>8</v>
      </c>
      <c r="J12" s="8">
        <v>13</v>
      </c>
      <c r="L12" s="7">
        <f t="shared" si="9"/>
        <v>9</v>
      </c>
      <c r="M12" s="7">
        <v>0.04</v>
      </c>
      <c r="N12">
        <v>0.04</v>
      </c>
      <c r="O12">
        <v>2</v>
      </c>
      <c r="T12" s="7">
        <f t="shared" si="10"/>
        <v>9</v>
      </c>
      <c r="U12" s="7"/>
      <c r="W12">
        <v>1</v>
      </c>
    </row>
    <row r="13" spans="1:25" x14ac:dyDescent="0.25">
      <c r="C13" s="8" t="s">
        <v>21</v>
      </c>
      <c r="D13" s="8" t="s">
        <v>21</v>
      </c>
      <c r="E13" s="8" t="s">
        <v>21</v>
      </c>
      <c r="F13" s="8" t="s">
        <v>21</v>
      </c>
      <c r="G13" s="8" t="s">
        <v>21</v>
      </c>
      <c r="H13" s="8" t="s">
        <v>21</v>
      </c>
      <c r="I13" s="8" t="s">
        <v>21</v>
      </c>
      <c r="J13" s="8" t="s">
        <v>21</v>
      </c>
      <c r="L13" s="7">
        <f t="shared" si="9"/>
        <v>10</v>
      </c>
      <c r="M13" s="7">
        <v>0.04</v>
      </c>
      <c r="N13">
        <v>0.04</v>
      </c>
      <c r="O13">
        <v>2</v>
      </c>
      <c r="T13" s="7">
        <f t="shared" si="10"/>
        <v>10</v>
      </c>
      <c r="U13" s="7"/>
    </row>
    <row r="14" spans="1:25" x14ac:dyDescent="0.25">
      <c r="C14" s="8">
        <f t="shared" ref="C14:J14" si="11">C8*$A$8+C9*$A$9+C10*$A$10+C11*$A$11+C12*$A$12</f>
        <v>1403</v>
      </c>
      <c r="D14" s="8">
        <f t="shared" si="11"/>
        <v>1506</v>
      </c>
      <c r="E14" s="8">
        <f t="shared" si="11"/>
        <v>1606</v>
      </c>
      <c r="F14" s="8">
        <f t="shared" si="11"/>
        <v>1706</v>
      </c>
      <c r="G14" s="8">
        <f t="shared" si="11"/>
        <v>1806</v>
      </c>
      <c r="H14" s="8">
        <f t="shared" si="11"/>
        <v>1906</v>
      </c>
      <c r="I14" s="8">
        <f t="shared" si="11"/>
        <v>2006</v>
      </c>
      <c r="J14" s="8">
        <f t="shared" si="11"/>
        <v>2106</v>
      </c>
      <c r="L14" s="7">
        <f t="shared" si="9"/>
        <v>11</v>
      </c>
      <c r="M14" s="7">
        <v>0.04</v>
      </c>
      <c r="O14">
        <f>SUM(O4:O13)</f>
        <v>26</v>
      </c>
      <c r="T14" s="7">
        <f t="shared" si="10"/>
        <v>11</v>
      </c>
      <c r="U14" s="7"/>
      <c r="W14">
        <f>SUM(W4:W13)</f>
        <v>27</v>
      </c>
    </row>
    <row r="15" spans="1:25" x14ac:dyDescent="0.25">
      <c r="A15" t="s">
        <v>13</v>
      </c>
      <c r="B15">
        <v>2.5000000000000001E-2</v>
      </c>
      <c r="C15" s="8"/>
      <c r="D15" s="8"/>
      <c r="E15" s="8"/>
      <c r="F15" s="8"/>
      <c r="G15" s="8"/>
      <c r="H15" s="8"/>
      <c r="I15" s="8"/>
      <c r="J15" s="8"/>
      <c r="L15" s="7">
        <f t="shared" si="9"/>
        <v>12</v>
      </c>
      <c r="M15" s="7">
        <v>0.04</v>
      </c>
      <c r="T15" s="7">
        <f t="shared" si="10"/>
        <v>12</v>
      </c>
      <c r="U15" s="7"/>
    </row>
    <row r="16" spans="1:25" x14ac:dyDescent="0.25">
      <c r="B16">
        <v>3.5000000000000003E-2</v>
      </c>
      <c r="C16" s="8" t="s">
        <v>4</v>
      </c>
      <c r="D16" s="8" t="s">
        <v>4</v>
      </c>
      <c r="E16" s="8" t="s">
        <v>4</v>
      </c>
      <c r="F16" s="8" t="s">
        <v>4</v>
      </c>
      <c r="G16" s="8" t="s">
        <v>4</v>
      </c>
      <c r="H16" s="8" t="s">
        <v>4</v>
      </c>
      <c r="I16" s="8" t="s">
        <v>4</v>
      </c>
      <c r="J16" s="8" t="s">
        <v>4</v>
      </c>
      <c r="L16" s="7">
        <f t="shared" si="9"/>
        <v>13</v>
      </c>
      <c r="M16" s="7">
        <v>0.04</v>
      </c>
      <c r="T16" s="7">
        <f t="shared" si="10"/>
        <v>13</v>
      </c>
      <c r="U16" s="7"/>
    </row>
    <row r="17" spans="1:21" x14ac:dyDescent="0.25">
      <c r="B17">
        <v>0.13</v>
      </c>
      <c r="C17" s="8">
        <f t="shared" ref="C17:E17" si="12">SUM(C8:C12)</f>
        <v>23</v>
      </c>
      <c r="D17" s="8">
        <f t="shared" si="12"/>
        <v>26</v>
      </c>
      <c r="E17" s="8">
        <f t="shared" si="12"/>
        <v>26</v>
      </c>
      <c r="F17" s="8">
        <f>SUM(F8:F12)</f>
        <v>26</v>
      </c>
      <c r="G17" s="8">
        <f>SUM(G8:G12)</f>
        <v>26</v>
      </c>
      <c r="H17" s="8">
        <f>SUM(H8:H12)</f>
        <v>26</v>
      </c>
      <c r="I17" s="8">
        <f>SUM(I8:I12)</f>
        <v>26</v>
      </c>
      <c r="J17" s="8">
        <f>SUM(J8:J12)</f>
        <v>26</v>
      </c>
      <c r="L17" s="7">
        <f t="shared" si="9"/>
        <v>14</v>
      </c>
      <c r="M17" s="7">
        <v>0.04</v>
      </c>
      <c r="T17" s="7">
        <f t="shared" si="10"/>
        <v>14</v>
      </c>
      <c r="U17" s="7"/>
    </row>
    <row r="18" spans="1:21" x14ac:dyDescent="0.25">
      <c r="L18" s="7">
        <f t="shared" si="9"/>
        <v>15</v>
      </c>
      <c r="M18" s="7">
        <v>0.04</v>
      </c>
      <c r="T18" s="7">
        <f t="shared" si="10"/>
        <v>15</v>
      </c>
      <c r="U18" s="7"/>
    </row>
    <row r="19" spans="1:21" x14ac:dyDescent="0.25">
      <c r="L19" s="7">
        <f t="shared" si="9"/>
        <v>16</v>
      </c>
      <c r="M19" s="7">
        <v>0.04</v>
      </c>
      <c r="T19" s="7">
        <f t="shared" si="10"/>
        <v>16</v>
      </c>
      <c r="U19" s="7"/>
    </row>
    <row r="20" spans="1:21" x14ac:dyDescent="0.25">
      <c r="A20" s="8"/>
      <c r="L20" s="7">
        <f t="shared" si="9"/>
        <v>17</v>
      </c>
      <c r="M20" s="7">
        <v>0.04</v>
      </c>
      <c r="T20" s="7">
        <f t="shared" si="10"/>
        <v>17</v>
      </c>
      <c r="U20" s="7"/>
    </row>
    <row r="21" spans="1:21" x14ac:dyDescent="0.25">
      <c r="L21" s="7">
        <f t="shared" si="9"/>
        <v>18</v>
      </c>
      <c r="M21" s="7">
        <v>0.04</v>
      </c>
      <c r="T21" s="7">
        <f t="shared" si="10"/>
        <v>18</v>
      </c>
      <c r="U21" s="7"/>
    </row>
    <row r="22" spans="1:21" x14ac:dyDescent="0.25">
      <c r="L22" s="7">
        <f t="shared" si="9"/>
        <v>19</v>
      </c>
      <c r="M22" s="7">
        <v>0.04</v>
      </c>
      <c r="T22" s="7">
        <f t="shared" si="10"/>
        <v>19</v>
      </c>
      <c r="U22" s="7"/>
    </row>
    <row r="23" spans="1:21" x14ac:dyDescent="0.25">
      <c r="L23" s="7">
        <f t="shared" si="9"/>
        <v>20</v>
      </c>
      <c r="M23" s="7">
        <v>0.04</v>
      </c>
      <c r="T23" s="7">
        <f t="shared" si="10"/>
        <v>20</v>
      </c>
      <c r="U23" s="7"/>
    </row>
    <row r="24" spans="1:21" x14ac:dyDescent="0.25">
      <c r="A24" t="s">
        <v>18</v>
      </c>
      <c r="B24">
        <v>1</v>
      </c>
      <c r="C24">
        <v>2</v>
      </c>
      <c r="D24">
        <v>3</v>
      </c>
      <c r="E24">
        <v>4</v>
      </c>
      <c r="F24" t="s">
        <v>29</v>
      </c>
      <c r="G24" t="s">
        <v>55</v>
      </c>
      <c r="H24" t="s">
        <v>62</v>
      </c>
      <c r="L24" s="7">
        <f t="shared" si="9"/>
        <v>21</v>
      </c>
      <c r="M24" s="7">
        <v>0.04</v>
      </c>
      <c r="T24" s="7">
        <f t="shared" si="10"/>
        <v>21</v>
      </c>
      <c r="U24" s="7"/>
    </row>
    <row r="25" spans="1:21" x14ac:dyDescent="0.25">
      <c r="A25" t="s">
        <v>2</v>
      </c>
      <c r="B25">
        <v>1601</v>
      </c>
      <c r="C25">
        <v>3008</v>
      </c>
      <c r="F25">
        <v>1601</v>
      </c>
      <c r="L25" s="7">
        <f t="shared" si="9"/>
        <v>22</v>
      </c>
      <c r="M25" s="7">
        <v>0.04</v>
      </c>
      <c r="T25" s="7">
        <f t="shared" si="10"/>
        <v>22</v>
      </c>
      <c r="U25" s="7"/>
    </row>
    <row r="26" spans="1:21" x14ac:dyDescent="0.25">
      <c r="A26" t="s">
        <v>3</v>
      </c>
      <c r="B26">
        <v>0.92400000000000004</v>
      </c>
      <c r="C26">
        <v>5</v>
      </c>
      <c r="F26">
        <v>6.1379999999999999</v>
      </c>
      <c r="L26" s="7">
        <f t="shared" si="9"/>
        <v>23</v>
      </c>
      <c r="M26" s="7">
        <v>0.04</v>
      </c>
      <c r="T26" s="7">
        <f t="shared" si="10"/>
        <v>23</v>
      </c>
      <c r="U26" s="7"/>
    </row>
    <row r="27" spans="1:21" x14ac:dyDescent="0.25">
      <c r="A27" t="s">
        <v>19</v>
      </c>
      <c r="B27">
        <v>1.29</v>
      </c>
      <c r="C27">
        <v>7.89</v>
      </c>
      <c r="F27">
        <v>8.99</v>
      </c>
      <c r="G27" s="11"/>
      <c r="L27" s="7">
        <f t="shared" si="9"/>
        <v>24</v>
      </c>
      <c r="M27" s="7">
        <v>0.04</v>
      </c>
      <c r="T27" s="7">
        <f t="shared" si="10"/>
        <v>24</v>
      </c>
      <c r="U27" s="7"/>
    </row>
    <row r="28" spans="1:21" x14ac:dyDescent="0.25">
      <c r="A28" t="s">
        <v>20</v>
      </c>
      <c r="B28">
        <f>B27*0.85-B26</f>
        <v>0.17249999999999999</v>
      </c>
      <c r="C28">
        <f>C27*0.85-C26</f>
        <v>1.7064999999999992</v>
      </c>
      <c r="F28">
        <f t="shared" ref="F28" si="13">F27*0.85-F26</f>
        <v>1.5034999999999998</v>
      </c>
      <c r="L28" s="7">
        <f t="shared" si="9"/>
        <v>25</v>
      </c>
      <c r="M28" s="7">
        <v>0.04</v>
      </c>
      <c r="T28" s="7">
        <f t="shared" si="10"/>
        <v>25</v>
      </c>
      <c r="U28" s="7"/>
    </row>
    <row r="29" spans="1:21" x14ac:dyDescent="0.25">
      <c r="B29" t="s">
        <v>28</v>
      </c>
      <c r="E29" t="s">
        <v>28</v>
      </c>
      <c r="F29" t="s">
        <v>28</v>
      </c>
      <c r="G29" t="s">
        <v>28</v>
      </c>
      <c r="L29" s="7">
        <f t="shared" si="9"/>
        <v>26</v>
      </c>
      <c r="M29" s="7">
        <v>4.2000000000000003E-2</v>
      </c>
      <c r="T29" s="7">
        <f t="shared" si="10"/>
        <v>26</v>
      </c>
      <c r="U29" s="7"/>
    </row>
    <row r="30" spans="1:21" x14ac:dyDescent="0.25">
      <c r="A30" t="s">
        <v>23</v>
      </c>
      <c r="L30" s="7">
        <f t="shared" si="9"/>
        <v>27</v>
      </c>
      <c r="M30" s="7"/>
      <c r="T30" s="7">
        <f t="shared" si="10"/>
        <v>27</v>
      </c>
      <c r="U30" s="7"/>
    </row>
    <row r="31" spans="1:21" x14ac:dyDescent="0.25">
      <c r="A31">
        <v>3</v>
      </c>
      <c r="B31">
        <v>3</v>
      </c>
      <c r="C31">
        <v>3</v>
      </c>
      <c r="D31">
        <v>3</v>
      </c>
      <c r="E31">
        <v>3</v>
      </c>
      <c r="L31" s="7">
        <f t="shared" si="9"/>
        <v>28</v>
      </c>
      <c r="M31" s="7"/>
      <c r="T31" s="7">
        <f t="shared" si="10"/>
        <v>28</v>
      </c>
    </row>
    <row r="32" spans="1:21" x14ac:dyDescent="0.25">
      <c r="A32">
        <v>3</v>
      </c>
      <c r="B32">
        <v>3</v>
      </c>
      <c r="C32">
        <v>3</v>
      </c>
      <c r="D32">
        <v>3</v>
      </c>
      <c r="E32">
        <v>3</v>
      </c>
      <c r="L32" s="7">
        <f t="shared" si="9"/>
        <v>29</v>
      </c>
      <c r="M32" s="7"/>
      <c r="T32" s="7">
        <f t="shared" si="10"/>
        <v>29</v>
      </c>
    </row>
    <row r="33" spans="1:20" x14ac:dyDescent="0.25">
      <c r="A33">
        <v>2</v>
      </c>
      <c r="B33">
        <v>3</v>
      </c>
      <c r="C33">
        <v>3</v>
      </c>
      <c r="D33">
        <v>3</v>
      </c>
      <c r="E33">
        <v>3</v>
      </c>
      <c r="L33" s="7">
        <f t="shared" si="9"/>
        <v>30</v>
      </c>
      <c r="M33" s="7"/>
      <c r="T33" s="7">
        <f t="shared" si="10"/>
        <v>30</v>
      </c>
    </row>
    <row r="34" spans="1:20" x14ac:dyDescent="0.25">
      <c r="A34">
        <v>1</v>
      </c>
      <c r="B34">
        <v>2</v>
      </c>
      <c r="C34">
        <v>3</v>
      </c>
      <c r="D34">
        <v>3</v>
      </c>
      <c r="E34">
        <v>3</v>
      </c>
      <c r="L34" s="7">
        <f t="shared" si="9"/>
        <v>31</v>
      </c>
      <c r="M34" s="7"/>
      <c r="T34" s="7">
        <f t="shared" si="10"/>
        <v>31</v>
      </c>
    </row>
    <row r="35" spans="1:20" x14ac:dyDescent="0.25">
      <c r="B35">
        <v>2</v>
      </c>
      <c r="C35">
        <v>2</v>
      </c>
      <c r="D35">
        <v>3</v>
      </c>
      <c r="E35">
        <v>3</v>
      </c>
      <c r="T35" s="7">
        <f t="shared" si="10"/>
        <v>32</v>
      </c>
    </row>
    <row r="36" spans="1:20" x14ac:dyDescent="0.25">
      <c r="B36">
        <v>1</v>
      </c>
      <c r="C36">
        <v>2</v>
      </c>
      <c r="D36">
        <v>2</v>
      </c>
      <c r="E36">
        <v>3</v>
      </c>
    </row>
    <row r="37" spans="1:20" x14ac:dyDescent="0.25">
      <c r="B37">
        <v>1</v>
      </c>
      <c r="C37">
        <v>2</v>
      </c>
      <c r="D37">
        <v>2</v>
      </c>
      <c r="E37">
        <v>2</v>
      </c>
    </row>
    <row r="38" spans="1:20" x14ac:dyDescent="0.25">
      <c r="C38">
        <v>1</v>
      </c>
      <c r="D38">
        <v>2</v>
      </c>
      <c r="E38">
        <v>2</v>
      </c>
    </row>
    <row r="39" spans="1:20" x14ac:dyDescent="0.25">
      <c r="C39">
        <v>1</v>
      </c>
      <c r="D39">
        <v>2</v>
      </c>
      <c r="E39">
        <v>2</v>
      </c>
    </row>
    <row r="40" spans="1:20" x14ac:dyDescent="0.25">
      <c r="C40">
        <v>1</v>
      </c>
      <c r="D40">
        <v>1</v>
      </c>
      <c r="E40">
        <v>2</v>
      </c>
    </row>
    <row r="41" spans="1:20" x14ac:dyDescent="0.25">
      <c r="A41">
        <f>SUM(A31:A40)</f>
        <v>9</v>
      </c>
      <c r="B41">
        <f t="shared" ref="B41:I41" si="14">SUM(B31:B40)</f>
        <v>15</v>
      </c>
      <c r="C41">
        <f t="shared" si="14"/>
        <v>21</v>
      </c>
      <c r="D41">
        <f t="shared" si="14"/>
        <v>24</v>
      </c>
      <c r="E41">
        <f t="shared" si="14"/>
        <v>26</v>
      </c>
      <c r="F41">
        <f t="shared" si="14"/>
        <v>0</v>
      </c>
      <c r="G41">
        <f t="shared" si="14"/>
        <v>0</v>
      </c>
      <c r="H41">
        <f t="shared" si="14"/>
        <v>0</v>
      </c>
      <c r="I41">
        <f t="shared" si="14"/>
        <v>0</v>
      </c>
    </row>
    <row r="42" spans="1:20" x14ac:dyDescent="0.25">
      <c r="B42" t="s">
        <v>24</v>
      </c>
      <c r="C42" t="s">
        <v>25</v>
      </c>
      <c r="D42" t="s">
        <v>27</v>
      </c>
      <c r="E42" t="s">
        <v>26</v>
      </c>
    </row>
  </sheetData>
  <mergeCells count="4">
    <mergeCell ref="M1:Q1"/>
    <mergeCell ref="M2:N2"/>
    <mergeCell ref="U1:Y1"/>
    <mergeCell ref="U2:V2"/>
  </mergeCells>
  <pageMargins left="0.7" right="0.7" top="0.75" bottom="0.75" header="0.3" footer="0.3"/>
  <pageSetup paperSize="9" orientation="portrait" horizontalDpi="30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3C637-0305-444C-A5D2-7658F4D0FA18}">
  <sheetPr codeName="Лист6"/>
  <dimension ref="A1:Q47"/>
  <sheetViews>
    <sheetView workbookViewId="0">
      <selection activeCell="C4" sqref="C4"/>
    </sheetView>
  </sheetViews>
  <sheetFormatPr defaultRowHeight="15" x14ac:dyDescent="0.25"/>
  <cols>
    <col min="1" max="15" width="12.7109375" customWidth="1"/>
    <col min="16" max="16" width="13.5703125" customWidth="1"/>
    <col min="17" max="17" width="9.5703125" customWidth="1"/>
  </cols>
  <sheetData>
    <row r="1" spans="1:17" x14ac:dyDescent="0.25">
      <c r="B1" t="s">
        <v>2</v>
      </c>
      <c r="C1">
        <v>2501</v>
      </c>
      <c r="D1">
        <f>C1+100</f>
        <v>2601</v>
      </c>
      <c r="E1">
        <f t="shared" ref="E1" si="0">D1+100</f>
        <v>2701</v>
      </c>
      <c r="F1">
        <f>E1+100</f>
        <v>2801</v>
      </c>
      <c r="G1">
        <f>F1+100</f>
        <v>2901</v>
      </c>
      <c r="H1">
        <f t="shared" ref="H1:K1" si="1">G1+100</f>
        <v>3001</v>
      </c>
      <c r="I1">
        <f t="shared" si="1"/>
        <v>3101</v>
      </c>
      <c r="J1">
        <f t="shared" si="1"/>
        <v>3201</v>
      </c>
      <c r="K1">
        <f t="shared" si="1"/>
        <v>3301</v>
      </c>
      <c r="L1">
        <v>1</v>
      </c>
      <c r="M1" s="18" t="s">
        <v>15</v>
      </c>
      <c r="N1" s="18"/>
      <c r="O1" s="18"/>
      <c r="P1" s="18"/>
      <c r="Q1" s="18"/>
    </row>
    <row r="2" spans="1:17" x14ac:dyDescent="0.25">
      <c r="B2" t="s">
        <v>3</v>
      </c>
      <c r="C2">
        <f>$B$8*C8+$B$9*C9+$B$10*C10+$B$11*C11+$B$12*C12+$B$13*C13+$B$14*C14+$B$15*C15+$B$16*C16+$B$17*C17</f>
        <v>3.97</v>
      </c>
      <c r="D2">
        <f t="shared" ref="D2:J2" si="2">$B$8*D8+$B$9*D9+$B$10*D10+$B$11*D11+$B$12*D12+$B$13*D13+$B$14*D14+$B$15*D15+$B$16*D16+$B$17*D17</f>
        <v>4.57</v>
      </c>
      <c r="E2">
        <f t="shared" si="2"/>
        <v>5.17</v>
      </c>
      <c r="F2">
        <f t="shared" si="2"/>
        <v>5.7700000000000005</v>
      </c>
      <c r="G2">
        <f t="shared" si="2"/>
        <v>6.3150000000000004</v>
      </c>
      <c r="H2">
        <f t="shared" si="2"/>
        <v>6.85</v>
      </c>
      <c r="I2">
        <f t="shared" si="2"/>
        <v>7.38</v>
      </c>
      <c r="J2">
        <f t="shared" si="2"/>
        <v>7.9149999999999991</v>
      </c>
      <c r="M2" s="18" t="s">
        <v>11</v>
      </c>
      <c r="N2" s="18"/>
      <c r="O2">
        <v>1500</v>
      </c>
      <c r="P2" t="s">
        <v>2</v>
      </c>
    </row>
    <row r="3" spans="1:17" x14ac:dyDescent="0.25">
      <c r="B3" t="s">
        <v>22</v>
      </c>
      <c r="C3">
        <f>4*$B$23+3*$B$22+3*$B$21</f>
        <v>5.6950000000000003</v>
      </c>
      <c r="D3">
        <f t="shared" ref="D3:J3" si="3">4*$B$23+3*$B$22+3*$B$21</f>
        <v>5.6950000000000003</v>
      </c>
      <c r="E3">
        <f t="shared" si="3"/>
        <v>5.6950000000000003</v>
      </c>
      <c r="F3">
        <f t="shared" si="3"/>
        <v>5.6950000000000003</v>
      </c>
      <c r="G3">
        <f t="shared" si="3"/>
        <v>5.6950000000000003</v>
      </c>
      <c r="H3">
        <f t="shared" si="3"/>
        <v>5.6950000000000003</v>
      </c>
      <c r="I3">
        <f t="shared" si="3"/>
        <v>5.6950000000000003</v>
      </c>
      <c r="J3">
        <f t="shared" si="3"/>
        <v>5.6950000000000003</v>
      </c>
      <c r="M3" t="s">
        <v>12</v>
      </c>
      <c r="N3" t="s">
        <v>13</v>
      </c>
      <c r="P3" t="s">
        <v>12</v>
      </c>
      <c r="Q3">
        <f>SUM(M4:M37)</f>
        <v>6.4600000000000044</v>
      </c>
    </row>
    <row r="4" spans="1:17" x14ac:dyDescent="0.25">
      <c r="B4" t="s">
        <v>17</v>
      </c>
      <c r="C4" s="2">
        <f>(trade!$B$8/2*trade!$B$6/trade!$B$7)*(ROUNDUP(C22/2,0)+C22+10)+0.08</f>
        <v>1.7329999999999999</v>
      </c>
      <c r="D4" s="2">
        <f>(trade!$B$8/2*trade!$B$6/trade!$B$7)*(ROUNDUP(D22/2,0)+D22+10)+0.08</f>
        <v>1.7329999999999999</v>
      </c>
      <c r="E4" s="2">
        <f>(trade!$B$8/2*trade!$B$6/trade!$B$7)*(ROUNDUP(E22/2,0)+E22+10)+0.08</f>
        <v>1.7329999999999999</v>
      </c>
      <c r="F4" s="2">
        <f>(trade!$B$8/2*trade!$B$6/trade!$B$7)*(ROUNDUP(F22/2,0)+F22+10)+0.08</f>
        <v>1.7329999999999999</v>
      </c>
      <c r="G4" s="2">
        <f>(trade!$B$8/2*trade!$B$6/trade!$B$7)*(ROUNDUP(G22/2,0)+G22+10)+0.08</f>
        <v>1.7329999999999999</v>
      </c>
      <c r="H4" s="2">
        <f>(trade!$B$8/2*trade!$B$6/trade!$B$7)*(ROUNDUP(H22/2,0)+H22+10)+0.08</f>
        <v>1.7329999999999999</v>
      </c>
      <c r="I4" s="2">
        <f>(trade!$B$8/2*trade!$B$6/trade!$B$7)*(ROUNDUP(I22/2,0)+I22+10)+0.08</f>
        <v>1.7329999999999999</v>
      </c>
      <c r="J4" s="2">
        <f>(trade!$B$8/2*trade!$B$6/trade!$B$7)*(ROUNDUP(J22/2,0)+J22+10)+0.08</f>
        <v>1.7329999999999999</v>
      </c>
      <c r="L4" s="7">
        <v>1</v>
      </c>
      <c r="M4" s="7">
        <v>0.19</v>
      </c>
      <c r="N4">
        <v>1.4</v>
      </c>
      <c r="O4">
        <v>4</v>
      </c>
      <c r="P4" t="s">
        <v>13</v>
      </c>
      <c r="Q4">
        <f>SUM(N4:N13)</f>
        <v>5.8599999999999985</v>
      </c>
    </row>
    <row r="5" spans="1:17" x14ac:dyDescent="0.25">
      <c r="B5" s="3" t="s">
        <v>14</v>
      </c>
      <c r="C5" s="4">
        <f t="shared" ref="C5:J5" si="4">SUM(C2:C4)</f>
        <v>11.398000000000001</v>
      </c>
      <c r="D5" s="4">
        <f t="shared" si="4"/>
        <v>11.998000000000001</v>
      </c>
      <c r="E5" s="4">
        <f t="shared" si="4"/>
        <v>12.598000000000001</v>
      </c>
      <c r="F5" s="4">
        <f t="shared" si="4"/>
        <v>13.198</v>
      </c>
      <c r="G5" s="4">
        <f t="shared" si="4"/>
        <v>13.743000000000002</v>
      </c>
      <c r="H5" s="4">
        <f t="shared" si="4"/>
        <v>14.278</v>
      </c>
      <c r="I5" s="4">
        <f t="shared" si="4"/>
        <v>14.808</v>
      </c>
      <c r="J5" s="4">
        <f t="shared" si="4"/>
        <v>15.343</v>
      </c>
      <c r="L5" s="7">
        <f>L4+1</f>
        <v>2</v>
      </c>
      <c r="M5" s="7">
        <v>0.19</v>
      </c>
      <c r="N5">
        <v>1.4</v>
      </c>
      <c r="O5">
        <v>4</v>
      </c>
      <c r="P5" t="s">
        <v>17</v>
      </c>
      <c r="Q5">
        <v>0.14499999999999999</v>
      </c>
    </row>
    <row r="6" spans="1:17" x14ac:dyDescent="0.25">
      <c r="B6" s="10" t="s">
        <v>16</v>
      </c>
      <c r="C6" s="10">
        <f>C5*1.18+$L$1</f>
        <v>14.44964</v>
      </c>
      <c r="D6" s="10">
        <f t="shared" ref="D6:J6" si="5">D5*1.18+$L$1</f>
        <v>15.157640000000001</v>
      </c>
      <c r="E6" s="10">
        <f t="shared" si="5"/>
        <v>15.865640000000001</v>
      </c>
      <c r="F6" s="10">
        <f t="shared" si="5"/>
        <v>16.573639999999997</v>
      </c>
      <c r="G6" s="10">
        <f t="shared" si="5"/>
        <v>17.216740000000001</v>
      </c>
      <c r="H6" s="10">
        <f t="shared" si="5"/>
        <v>17.848040000000001</v>
      </c>
      <c r="I6" s="10">
        <f t="shared" si="5"/>
        <v>18.47344</v>
      </c>
      <c r="J6" s="10">
        <f t="shared" si="5"/>
        <v>19.10474</v>
      </c>
      <c r="L6" s="7">
        <f t="shared" ref="L6:L37" si="6">L5+1</f>
        <v>3</v>
      </c>
      <c r="M6" s="7">
        <v>0.19</v>
      </c>
      <c r="N6">
        <v>1.4</v>
      </c>
      <c r="O6">
        <v>4</v>
      </c>
      <c r="P6" s="3" t="s">
        <v>14</v>
      </c>
      <c r="Q6" s="3">
        <f>SUM(Q3:Q5)</f>
        <v>12.465000000000003</v>
      </c>
    </row>
    <row r="7" spans="1:17" x14ac:dyDescent="0.25">
      <c r="A7" t="s">
        <v>0</v>
      </c>
      <c r="B7" t="s">
        <v>1</v>
      </c>
      <c r="C7" s="12"/>
      <c r="D7" s="12"/>
      <c r="E7" s="12"/>
      <c r="F7" s="12"/>
      <c r="L7" s="7">
        <f t="shared" si="6"/>
        <v>4</v>
      </c>
      <c r="M7" s="7">
        <v>0.19</v>
      </c>
      <c r="N7">
        <v>1.4</v>
      </c>
      <c r="O7">
        <v>4</v>
      </c>
    </row>
    <row r="8" spans="1:17" x14ac:dyDescent="0.25">
      <c r="A8">
        <v>51</v>
      </c>
      <c r="B8">
        <v>0.03</v>
      </c>
      <c r="C8" s="12">
        <v>0</v>
      </c>
      <c r="D8" s="12">
        <v>0</v>
      </c>
      <c r="E8" s="12">
        <v>0</v>
      </c>
      <c r="F8" s="12">
        <v>0</v>
      </c>
      <c r="G8" s="12">
        <v>0</v>
      </c>
      <c r="H8" s="12">
        <v>0</v>
      </c>
      <c r="I8" s="12">
        <v>0</v>
      </c>
      <c r="J8" s="12">
        <v>0</v>
      </c>
      <c r="L8" s="7">
        <f t="shared" si="6"/>
        <v>5</v>
      </c>
      <c r="M8" s="7">
        <v>0.19</v>
      </c>
      <c r="N8">
        <v>0.06</v>
      </c>
      <c r="O8">
        <v>3</v>
      </c>
      <c r="P8" s="10" t="s">
        <v>16</v>
      </c>
      <c r="Q8" s="10">
        <f>Q6*1.18</f>
        <v>14.708700000000004</v>
      </c>
    </row>
    <row r="9" spans="1:17" x14ac:dyDescent="0.25">
      <c r="A9">
        <v>61</v>
      </c>
      <c r="B9">
        <v>3.5000000000000003E-2</v>
      </c>
      <c r="C9" s="12">
        <v>0</v>
      </c>
      <c r="D9" s="12">
        <v>0</v>
      </c>
      <c r="E9" s="12">
        <v>0</v>
      </c>
      <c r="F9" s="12">
        <v>0</v>
      </c>
      <c r="G9" s="12">
        <v>0</v>
      </c>
      <c r="H9" s="12">
        <v>0</v>
      </c>
      <c r="I9" s="12">
        <v>0</v>
      </c>
      <c r="J9" s="12">
        <v>0</v>
      </c>
      <c r="L9" s="7">
        <f t="shared" si="6"/>
        <v>6</v>
      </c>
      <c r="M9" s="7">
        <v>0.19</v>
      </c>
      <c r="N9">
        <v>0.06</v>
      </c>
      <c r="O9">
        <v>3</v>
      </c>
    </row>
    <row r="10" spans="1:17" x14ac:dyDescent="0.25">
      <c r="A10">
        <v>71</v>
      </c>
      <c r="B10">
        <v>7.0000000000000007E-2</v>
      </c>
      <c r="C10" s="12">
        <v>16</v>
      </c>
      <c r="D10" s="12">
        <v>11</v>
      </c>
      <c r="E10" s="12">
        <v>6</v>
      </c>
      <c r="F10" s="12">
        <v>1</v>
      </c>
      <c r="G10" s="12">
        <v>0</v>
      </c>
      <c r="H10" s="12">
        <v>0</v>
      </c>
      <c r="I10" s="12">
        <v>0</v>
      </c>
      <c r="J10" s="12">
        <v>0</v>
      </c>
      <c r="L10" s="7">
        <f t="shared" si="6"/>
        <v>7</v>
      </c>
      <c r="M10" s="7">
        <v>0.19</v>
      </c>
      <c r="N10">
        <v>0.06</v>
      </c>
      <c r="O10">
        <v>3</v>
      </c>
    </row>
    <row r="11" spans="1:17" x14ac:dyDescent="0.25">
      <c r="A11">
        <v>81</v>
      </c>
      <c r="B11">
        <v>0.13</v>
      </c>
      <c r="C11" s="12">
        <v>0</v>
      </c>
      <c r="D11" s="12">
        <v>0</v>
      </c>
      <c r="E11" s="12">
        <v>0</v>
      </c>
      <c r="F11" s="12">
        <v>0</v>
      </c>
      <c r="G11" s="12">
        <v>0</v>
      </c>
      <c r="H11" s="12">
        <v>0</v>
      </c>
      <c r="I11" s="12">
        <v>0</v>
      </c>
      <c r="J11" s="12">
        <v>0</v>
      </c>
      <c r="L11" s="7">
        <f t="shared" si="6"/>
        <v>8</v>
      </c>
      <c r="M11" s="7">
        <v>0.19</v>
      </c>
      <c r="N11">
        <v>0.04</v>
      </c>
      <c r="O11">
        <v>2</v>
      </c>
    </row>
    <row r="12" spans="1:17" x14ac:dyDescent="0.25">
      <c r="A12">
        <v>91</v>
      </c>
      <c r="B12">
        <v>0.19</v>
      </c>
      <c r="C12" s="12">
        <v>15</v>
      </c>
      <c r="D12" s="12">
        <v>20</v>
      </c>
      <c r="E12" s="12">
        <v>25</v>
      </c>
      <c r="F12" s="12">
        <v>30</v>
      </c>
      <c r="G12" s="12">
        <v>28</v>
      </c>
      <c r="H12" s="12">
        <v>25</v>
      </c>
      <c r="I12" s="12">
        <v>21</v>
      </c>
      <c r="J12" s="12">
        <v>18</v>
      </c>
      <c r="L12" s="7">
        <f t="shared" si="6"/>
        <v>9</v>
      </c>
      <c r="M12" s="7">
        <v>0.19</v>
      </c>
      <c r="N12">
        <v>0.04</v>
      </c>
      <c r="O12">
        <v>2</v>
      </c>
    </row>
    <row r="13" spans="1:17" x14ac:dyDescent="0.25">
      <c r="A13">
        <v>101</v>
      </c>
      <c r="B13">
        <v>0.28999999999999998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L13" s="7">
        <f t="shared" si="6"/>
        <v>10</v>
      </c>
      <c r="M13" s="7">
        <v>0.19</v>
      </c>
    </row>
    <row r="14" spans="1:17" x14ac:dyDescent="0.25">
      <c r="A14">
        <v>111</v>
      </c>
      <c r="B14">
        <v>0.29499999999999998</v>
      </c>
      <c r="C14" s="13">
        <v>0</v>
      </c>
      <c r="D14" s="13">
        <v>0</v>
      </c>
      <c r="E14" s="13">
        <v>0</v>
      </c>
      <c r="F14" s="13">
        <v>0</v>
      </c>
      <c r="G14" s="13">
        <v>1</v>
      </c>
      <c r="H14" s="13">
        <v>0</v>
      </c>
      <c r="I14" s="13">
        <v>2</v>
      </c>
      <c r="J14" s="13">
        <v>1</v>
      </c>
      <c r="L14" s="7">
        <f t="shared" si="6"/>
        <v>11</v>
      </c>
      <c r="M14" s="7">
        <v>0.19</v>
      </c>
      <c r="O14">
        <f>SUM(O4:O13)</f>
        <v>29</v>
      </c>
    </row>
    <row r="15" spans="1:17" x14ac:dyDescent="0.25">
      <c r="A15">
        <v>121</v>
      </c>
      <c r="B15">
        <v>0.35</v>
      </c>
      <c r="C15" s="13">
        <v>0</v>
      </c>
      <c r="D15" s="13">
        <v>0</v>
      </c>
      <c r="E15" s="13">
        <v>0</v>
      </c>
      <c r="F15" s="13">
        <v>0</v>
      </c>
      <c r="G15" s="13">
        <v>2</v>
      </c>
      <c r="H15" s="13">
        <v>6</v>
      </c>
      <c r="I15" s="13">
        <v>8</v>
      </c>
      <c r="J15" s="13">
        <v>12</v>
      </c>
      <c r="L15" s="7">
        <f t="shared" si="6"/>
        <v>12</v>
      </c>
      <c r="M15" s="7">
        <v>0.19</v>
      </c>
    </row>
    <row r="16" spans="1:17" x14ac:dyDescent="0.25">
      <c r="A16">
        <v>131</v>
      </c>
      <c r="B16">
        <v>0.47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  <c r="I16" s="13">
        <v>0</v>
      </c>
      <c r="J16" s="13">
        <v>0</v>
      </c>
      <c r="L16" s="7">
        <f t="shared" si="6"/>
        <v>13</v>
      </c>
      <c r="M16" s="7">
        <v>0.19</v>
      </c>
    </row>
    <row r="17" spans="1:13" x14ac:dyDescent="0.25">
      <c r="A17">
        <v>141</v>
      </c>
      <c r="B17">
        <v>0.6</v>
      </c>
      <c r="C17" s="13">
        <v>0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L17" s="7">
        <f t="shared" si="6"/>
        <v>14</v>
      </c>
      <c r="M17" s="7">
        <v>0.19</v>
      </c>
    </row>
    <row r="18" spans="1:13" x14ac:dyDescent="0.25">
      <c r="C18" s="12" t="s">
        <v>21</v>
      </c>
      <c r="D18" s="12" t="s">
        <v>21</v>
      </c>
      <c r="E18" s="12" t="s">
        <v>21</v>
      </c>
      <c r="F18" s="12" t="s">
        <v>21</v>
      </c>
      <c r="G18" s="12" t="s">
        <v>21</v>
      </c>
      <c r="H18" s="12" t="s">
        <v>21</v>
      </c>
      <c r="I18" s="12" t="s">
        <v>21</v>
      </c>
      <c r="J18" s="12" t="s">
        <v>21</v>
      </c>
      <c r="L18" s="7">
        <f t="shared" si="6"/>
        <v>15</v>
      </c>
      <c r="M18" s="7">
        <v>0.19</v>
      </c>
    </row>
    <row r="19" spans="1:13" x14ac:dyDescent="0.25">
      <c r="C19" s="12">
        <f>C8*$A$8+C9*$A$9+C10*$A$10+C11*$A$11+C12*$A$12+$A$13*C13+$A$14*C14+$A$15*C15+$A$16*C16+$A$17*C17</f>
        <v>2501</v>
      </c>
      <c r="D19" s="12">
        <f t="shared" ref="D19:J19" si="7">D8*$A$8+D9*$A$9+D10*$A$10+D11*$A$11+D12*$A$12+$A$13*D13+$A$14*D14+$A$15*D15+$A$16*D16+$A$17*D17</f>
        <v>2601</v>
      </c>
      <c r="E19" s="12">
        <f t="shared" si="7"/>
        <v>2701</v>
      </c>
      <c r="F19" s="12">
        <f t="shared" si="7"/>
        <v>2801</v>
      </c>
      <c r="G19" s="12">
        <f t="shared" si="7"/>
        <v>2901</v>
      </c>
      <c r="H19" s="12">
        <f t="shared" si="7"/>
        <v>3001</v>
      </c>
      <c r="I19" s="12">
        <f t="shared" si="7"/>
        <v>3101</v>
      </c>
      <c r="J19" s="12">
        <f t="shared" si="7"/>
        <v>3201</v>
      </c>
      <c r="L19" s="7">
        <f t="shared" si="6"/>
        <v>16</v>
      </c>
      <c r="M19" s="7">
        <v>0.19</v>
      </c>
    </row>
    <row r="20" spans="1:13" x14ac:dyDescent="0.25">
      <c r="A20" t="s">
        <v>13</v>
      </c>
      <c r="B20">
        <v>2.5000000000000001E-2</v>
      </c>
      <c r="C20" s="12"/>
      <c r="D20" s="12"/>
      <c r="E20" s="12"/>
      <c r="F20" s="12"/>
      <c r="G20" s="12"/>
      <c r="H20" s="12"/>
      <c r="I20" s="12"/>
      <c r="J20" s="12"/>
      <c r="L20" s="7">
        <f t="shared" si="6"/>
        <v>17</v>
      </c>
      <c r="M20" s="7">
        <v>0.19</v>
      </c>
    </row>
    <row r="21" spans="1:13" x14ac:dyDescent="0.25">
      <c r="B21">
        <v>3.5000000000000003E-2</v>
      </c>
      <c r="C21" s="12" t="s">
        <v>4</v>
      </c>
      <c r="D21" s="12" t="s">
        <v>4</v>
      </c>
      <c r="E21" s="12" t="s">
        <v>4</v>
      </c>
      <c r="F21" s="12" t="s">
        <v>4</v>
      </c>
      <c r="G21" s="12" t="s">
        <v>4</v>
      </c>
      <c r="H21" s="12" t="s">
        <v>4</v>
      </c>
      <c r="I21" s="12" t="s">
        <v>4</v>
      </c>
      <c r="J21" s="12" t="s">
        <v>4</v>
      </c>
      <c r="L21" s="7">
        <f t="shared" si="6"/>
        <v>18</v>
      </c>
      <c r="M21" s="7">
        <v>0.19</v>
      </c>
    </row>
    <row r="22" spans="1:13" x14ac:dyDescent="0.25">
      <c r="B22">
        <v>0.13</v>
      </c>
      <c r="C22" s="12">
        <f>SUM(C8:C17)</f>
        <v>31</v>
      </c>
      <c r="D22" s="12">
        <f t="shared" ref="D22:J22" si="8">SUM(D8:D17)</f>
        <v>31</v>
      </c>
      <c r="E22" s="12">
        <f t="shared" si="8"/>
        <v>31</v>
      </c>
      <c r="F22" s="12">
        <f t="shared" si="8"/>
        <v>31</v>
      </c>
      <c r="G22" s="12">
        <f t="shared" si="8"/>
        <v>31</v>
      </c>
      <c r="H22" s="12">
        <f t="shared" si="8"/>
        <v>31</v>
      </c>
      <c r="I22" s="12">
        <f t="shared" si="8"/>
        <v>31</v>
      </c>
      <c r="J22" s="12">
        <f t="shared" si="8"/>
        <v>31</v>
      </c>
      <c r="L22" s="7">
        <f t="shared" si="6"/>
        <v>19</v>
      </c>
      <c r="M22" s="7">
        <v>0.19</v>
      </c>
    </row>
    <row r="23" spans="1:13" x14ac:dyDescent="0.25">
      <c r="B23">
        <v>1.3</v>
      </c>
      <c r="L23" s="7">
        <f t="shared" si="6"/>
        <v>20</v>
      </c>
      <c r="M23" s="7">
        <v>0.19</v>
      </c>
    </row>
    <row r="24" spans="1:13" x14ac:dyDescent="0.25">
      <c r="L24" s="7">
        <f t="shared" si="6"/>
        <v>21</v>
      </c>
      <c r="M24" s="7">
        <v>0.19</v>
      </c>
    </row>
    <row r="25" spans="1:13" x14ac:dyDescent="0.25">
      <c r="A25" s="12"/>
      <c r="L25" s="7">
        <f t="shared" si="6"/>
        <v>22</v>
      </c>
      <c r="M25" s="7">
        <v>0.19</v>
      </c>
    </row>
    <row r="26" spans="1:13" x14ac:dyDescent="0.25">
      <c r="L26" s="7">
        <f t="shared" si="6"/>
        <v>23</v>
      </c>
      <c r="M26" s="7">
        <v>0.19</v>
      </c>
    </row>
    <row r="27" spans="1:13" x14ac:dyDescent="0.25">
      <c r="L27" s="7">
        <f t="shared" si="6"/>
        <v>24</v>
      </c>
      <c r="M27" s="7">
        <v>0.19</v>
      </c>
    </row>
    <row r="28" spans="1:13" x14ac:dyDescent="0.25">
      <c r="L28" s="7">
        <f t="shared" si="6"/>
        <v>25</v>
      </c>
      <c r="M28" s="7">
        <v>0.19</v>
      </c>
    </row>
    <row r="29" spans="1:13" x14ac:dyDescent="0.25">
      <c r="A29" t="s">
        <v>18</v>
      </c>
      <c r="B29">
        <v>1</v>
      </c>
      <c r="C29">
        <v>2</v>
      </c>
      <c r="D29">
        <v>3</v>
      </c>
      <c r="E29">
        <v>4</v>
      </c>
      <c r="F29" t="s">
        <v>29</v>
      </c>
      <c r="G29" t="s">
        <v>55</v>
      </c>
      <c r="H29" t="s">
        <v>62</v>
      </c>
      <c r="L29" s="7">
        <f t="shared" si="6"/>
        <v>26</v>
      </c>
      <c r="M29" s="7">
        <v>0.19</v>
      </c>
    </row>
    <row r="30" spans="1:13" x14ac:dyDescent="0.25">
      <c r="A30" t="s">
        <v>2</v>
      </c>
      <c r="B30">
        <v>1601</v>
      </c>
      <c r="C30">
        <v>1602</v>
      </c>
      <c r="D30">
        <v>1601</v>
      </c>
      <c r="E30">
        <v>1601</v>
      </c>
      <c r="F30">
        <v>1601</v>
      </c>
      <c r="G30">
        <v>1601</v>
      </c>
      <c r="H30">
        <v>1601</v>
      </c>
      <c r="L30" s="7">
        <f t="shared" si="6"/>
        <v>27</v>
      </c>
      <c r="M30" s="7">
        <v>0.19</v>
      </c>
    </row>
    <row r="31" spans="1:13" x14ac:dyDescent="0.25">
      <c r="A31" t="s">
        <v>3</v>
      </c>
      <c r="B31">
        <v>2.6080000000000001</v>
      </c>
      <c r="C31">
        <v>2.5169999999999999</v>
      </c>
      <c r="D31">
        <v>2.62</v>
      </c>
      <c r="E31">
        <v>2.573</v>
      </c>
      <c r="F31">
        <v>6.1379999999999999</v>
      </c>
      <c r="G31">
        <v>5.6849999999999996</v>
      </c>
      <c r="H31">
        <v>6.2130000000000001</v>
      </c>
      <c r="L31" s="7">
        <f t="shared" si="6"/>
        <v>28</v>
      </c>
      <c r="M31" s="7">
        <v>0.19</v>
      </c>
    </row>
    <row r="32" spans="1:13" x14ac:dyDescent="0.25">
      <c r="A32" t="s">
        <v>19</v>
      </c>
      <c r="B32">
        <v>4.1900000000000004</v>
      </c>
      <c r="C32">
        <v>3.79</v>
      </c>
      <c r="D32">
        <v>4.18</v>
      </c>
      <c r="E32">
        <v>3.2</v>
      </c>
      <c r="F32">
        <v>8.99</v>
      </c>
      <c r="G32" s="11">
        <v>6.89</v>
      </c>
      <c r="H32">
        <v>7.49</v>
      </c>
      <c r="L32" s="7">
        <f t="shared" si="6"/>
        <v>29</v>
      </c>
      <c r="M32" s="7">
        <v>0.19</v>
      </c>
    </row>
    <row r="33" spans="1:13" x14ac:dyDescent="0.25">
      <c r="A33" t="s">
        <v>20</v>
      </c>
      <c r="B33">
        <f>B32*0.85-B31</f>
        <v>0.95350000000000001</v>
      </c>
      <c r="C33">
        <f t="shared" ref="C33:H33" si="9">C32*0.85-C31</f>
        <v>0.7044999999999999</v>
      </c>
      <c r="D33">
        <f t="shared" si="9"/>
        <v>0.93299999999999939</v>
      </c>
      <c r="E33">
        <f t="shared" si="9"/>
        <v>0.14700000000000024</v>
      </c>
      <c r="F33">
        <f t="shared" si="9"/>
        <v>1.5034999999999998</v>
      </c>
      <c r="G33">
        <f t="shared" si="9"/>
        <v>0.17149999999999999</v>
      </c>
      <c r="H33">
        <f t="shared" si="9"/>
        <v>0.15350000000000019</v>
      </c>
      <c r="L33" s="7">
        <f t="shared" si="6"/>
        <v>30</v>
      </c>
      <c r="M33" s="7">
        <v>0.19</v>
      </c>
    </row>
    <row r="34" spans="1:13" x14ac:dyDescent="0.25">
      <c r="B34" t="s">
        <v>28</v>
      </c>
      <c r="E34" t="s">
        <v>28</v>
      </c>
      <c r="F34" t="s">
        <v>28</v>
      </c>
      <c r="G34" t="s">
        <v>28</v>
      </c>
      <c r="L34" s="7">
        <f t="shared" si="6"/>
        <v>31</v>
      </c>
      <c r="M34" s="7">
        <v>0.19</v>
      </c>
    </row>
    <row r="35" spans="1:13" x14ac:dyDescent="0.25">
      <c r="A35" t="s">
        <v>23</v>
      </c>
      <c r="L35" s="7">
        <f t="shared" si="6"/>
        <v>32</v>
      </c>
      <c r="M35" s="7">
        <v>0.19</v>
      </c>
    </row>
    <row r="36" spans="1:13" x14ac:dyDescent="0.25">
      <c r="A36">
        <v>3</v>
      </c>
      <c r="B36">
        <v>3</v>
      </c>
      <c r="C36">
        <v>3</v>
      </c>
      <c r="D36">
        <v>3</v>
      </c>
      <c r="E36">
        <v>3</v>
      </c>
      <c r="L36" s="7">
        <f t="shared" si="6"/>
        <v>33</v>
      </c>
      <c r="M36" s="7">
        <v>0.19</v>
      </c>
    </row>
    <row r="37" spans="1:13" x14ac:dyDescent="0.25">
      <c r="A37">
        <v>3</v>
      </c>
      <c r="B37">
        <v>3</v>
      </c>
      <c r="C37">
        <v>3</v>
      </c>
      <c r="D37">
        <v>3</v>
      </c>
      <c r="E37">
        <v>3</v>
      </c>
      <c r="L37" s="7">
        <f t="shared" si="6"/>
        <v>34</v>
      </c>
      <c r="M37" s="7">
        <v>0.19</v>
      </c>
    </row>
    <row r="38" spans="1:13" x14ac:dyDescent="0.25">
      <c r="A38">
        <v>2</v>
      </c>
      <c r="B38">
        <v>3</v>
      </c>
      <c r="C38">
        <v>3</v>
      </c>
      <c r="D38">
        <v>3</v>
      </c>
      <c r="E38">
        <v>3</v>
      </c>
    </row>
    <row r="39" spans="1:13" x14ac:dyDescent="0.25">
      <c r="A39">
        <v>1</v>
      </c>
      <c r="B39">
        <v>2</v>
      </c>
      <c r="C39">
        <v>3</v>
      </c>
      <c r="D39">
        <v>3</v>
      </c>
      <c r="E39">
        <v>3</v>
      </c>
    </row>
    <row r="40" spans="1:13" x14ac:dyDescent="0.25">
      <c r="B40">
        <v>2</v>
      </c>
      <c r="C40">
        <v>2</v>
      </c>
      <c r="D40">
        <v>3</v>
      </c>
      <c r="E40">
        <v>3</v>
      </c>
    </row>
    <row r="41" spans="1:13" x14ac:dyDescent="0.25">
      <c r="B41">
        <v>1</v>
      </c>
      <c r="C41">
        <v>2</v>
      </c>
      <c r="D41">
        <v>2</v>
      </c>
      <c r="E41">
        <v>3</v>
      </c>
    </row>
    <row r="42" spans="1:13" x14ac:dyDescent="0.25">
      <c r="B42">
        <v>1</v>
      </c>
      <c r="C42">
        <v>2</v>
      </c>
      <c r="D42">
        <v>2</v>
      </c>
      <c r="E42">
        <v>2</v>
      </c>
    </row>
    <row r="43" spans="1:13" x14ac:dyDescent="0.25">
      <c r="C43">
        <v>1</v>
      </c>
      <c r="D43">
        <v>2</v>
      </c>
      <c r="E43">
        <v>2</v>
      </c>
    </row>
    <row r="44" spans="1:13" x14ac:dyDescent="0.25">
      <c r="C44">
        <v>1</v>
      </c>
      <c r="D44">
        <v>2</v>
      </c>
      <c r="E44">
        <v>2</v>
      </c>
    </row>
    <row r="45" spans="1:13" x14ac:dyDescent="0.25">
      <c r="C45">
        <v>1</v>
      </c>
      <c r="D45">
        <v>1</v>
      </c>
      <c r="E45">
        <v>2</v>
      </c>
    </row>
    <row r="46" spans="1:13" x14ac:dyDescent="0.25">
      <c r="A46">
        <f>SUM(A36:A45)</f>
        <v>9</v>
      </c>
      <c r="B46">
        <f t="shared" ref="B46:I46" si="10">SUM(B36:B45)</f>
        <v>15</v>
      </c>
      <c r="C46">
        <f t="shared" si="10"/>
        <v>21</v>
      </c>
      <c r="D46">
        <f t="shared" si="10"/>
        <v>24</v>
      </c>
      <c r="E46">
        <f t="shared" si="10"/>
        <v>26</v>
      </c>
      <c r="F46">
        <f t="shared" si="10"/>
        <v>0</v>
      </c>
      <c r="G46">
        <f t="shared" si="10"/>
        <v>0</v>
      </c>
      <c r="H46">
        <f t="shared" si="10"/>
        <v>0</v>
      </c>
      <c r="I46">
        <f t="shared" si="10"/>
        <v>0</v>
      </c>
    </row>
    <row r="47" spans="1:13" x14ac:dyDescent="0.25">
      <c r="B47" t="s">
        <v>24</v>
      </c>
      <c r="C47" t="s">
        <v>25</v>
      </c>
      <c r="D47" t="s">
        <v>27</v>
      </c>
      <c r="E47" t="s">
        <v>26</v>
      </c>
    </row>
  </sheetData>
  <mergeCells count="2">
    <mergeCell ref="M1:Q1"/>
    <mergeCell ref="M2:N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E0B3C-B2CC-4CAB-B183-61F5FDF813DC}">
  <sheetPr codeName="Лист2"/>
  <dimension ref="A1:L9"/>
  <sheetViews>
    <sheetView zoomScale="175" zoomScaleNormal="175" workbookViewId="0">
      <selection activeCell="C5" sqref="C5"/>
    </sheetView>
  </sheetViews>
  <sheetFormatPr defaultRowHeight="15" x14ac:dyDescent="0.25"/>
  <cols>
    <col min="1" max="1" width="18" customWidth="1"/>
  </cols>
  <sheetData>
    <row r="1" spans="1:12" x14ac:dyDescent="0.25">
      <c r="A1" s="5"/>
      <c r="B1" s="5"/>
      <c r="C1" s="6">
        <v>50</v>
      </c>
      <c r="D1" s="6">
        <f t="shared" ref="D1:L1" si="0">C1+10</f>
        <v>60</v>
      </c>
      <c r="E1" s="6">
        <f t="shared" si="0"/>
        <v>70</v>
      </c>
      <c r="F1" s="6">
        <f t="shared" si="0"/>
        <v>80</v>
      </c>
      <c r="G1" s="6">
        <f t="shared" si="0"/>
        <v>90</v>
      </c>
      <c r="H1" s="6">
        <f t="shared" si="0"/>
        <v>100</v>
      </c>
      <c r="I1" s="6">
        <f t="shared" si="0"/>
        <v>110</v>
      </c>
      <c r="J1" s="6">
        <f t="shared" si="0"/>
        <v>120</v>
      </c>
      <c r="K1" s="6">
        <f t="shared" si="0"/>
        <v>130</v>
      </c>
      <c r="L1" s="6">
        <f t="shared" si="0"/>
        <v>140</v>
      </c>
    </row>
    <row r="2" spans="1:12" x14ac:dyDescent="0.25">
      <c r="A2" s="5" t="s">
        <v>8</v>
      </c>
      <c r="B2" s="5"/>
      <c r="C2" s="5">
        <f>C4*0.85-$B$8*$B$6/$B$7-$B$9/$B$7</f>
        <v>-0.27484999999999998</v>
      </c>
      <c r="D2" s="5">
        <f>D4*0.85-$B$8*$B$6/$B$7-$B$9/$B$7</f>
        <v>-0.27060000000000001</v>
      </c>
      <c r="E2" s="5">
        <f>E4*0.85-$B$8*$B$6/$B$7-$B$9/$B$7</f>
        <v>-0.28334999999999999</v>
      </c>
      <c r="F2" s="5">
        <f>F4*0.85-$B$8*$B$6/$B$7-$B$9/$B$7</f>
        <v>-0.27400000000000002</v>
      </c>
      <c r="G2" s="5">
        <f>G4*0.85-$B$8*$B$6/$B$7-$B$9/$B$7</f>
        <v>-0.18984999999999999</v>
      </c>
      <c r="H2" s="5">
        <f>H4*0.85-$B$8*$B$6/$B$7-$B$9*2/$B$7</f>
        <v>-0.3115</v>
      </c>
      <c r="I2" s="5">
        <f t="shared" ref="I2:L2" si="1">I4*0.85-$B$8*$B$6/$B$7-$B$9*2/$B$7</f>
        <v>-0.30299999999999999</v>
      </c>
      <c r="J2" s="5">
        <f t="shared" si="1"/>
        <v>-0.22649999999999998</v>
      </c>
      <c r="K2" s="5">
        <f t="shared" si="1"/>
        <v>-4.7999999999999987E-2</v>
      </c>
      <c r="L2" s="5">
        <f t="shared" si="1"/>
        <v>7.9499999999999904E-2</v>
      </c>
    </row>
    <row r="3" spans="1:12" x14ac:dyDescent="0.25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</row>
    <row r="4" spans="1:12" x14ac:dyDescent="0.25">
      <c r="A4" s="5" t="s">
        <v>5</v>
      </c>
      <c r="B4" s="5"/>
      <c r="C4" s="5">
        <v>3.9E-2</v>
      </c>
      <c r="D4" s="5">
        <v>4.3999999999999997E-2</v>
      </c>
      <c r="E4" s="5">
        <v>2.9000000000000001E-2</v>
      </c>
      <c r="F4" s="5">
        <v>0.04</v>
      </c>
      <c r="G4" s="5">
        <v>0.13900000000000001</v>
      </c>
      <c r="H4" s="5">
        <v>0.28999999999999998</v>
      </c>
      <c r="I4" s="5">
        <v>0.3</v>
      </c>
      <c r="J4" s="5">
        <v>0.39</v>
      </c>
      <c r="K4" s="5">
        <v>0.6</v>
      </c>
      <c r="L4" s="5">
        <v>0.75</v>
      </c>
    </row>
    <row r="5" spans="1:12" x14ac:dyDescent="0.25">
      <c r="A5" s="5" t="s">
        <v>70</v>
      </c>
      <c r="B5" s="5"/>
      <c r="C5" s="5">
        <f>B9/B7</f>
        <v>0.25</v>
      </c>
      <c r="D5" s="5"/>
      <c r="E5" s="5"/>
      <c r="F5" s="5"/>
      <c r="G5" s="5"/>
      <c r="H5" s="5"/>
      <c r="I5" s="5"/>
      <c r="J5" s="5"/>
      <c r="K5" s="5"/>
      <c r="L5" s="5"/>
    </row>
    <row r="6" spans="1:12" x14ac:dyDescent="0.25">
      <c r="A6" s="5" t="s">
        <v>6</v>
      </c>
      <c r="B6" s="5">
        <v>580</v>
      </c>
      <c r="C6" s="5"/>
      <c r="D6" s="5"/>
      <c r="E6" s="5"/>
      <c r="F6" s="5"/>
      <c r="G6" s="5"/>
      <c r="H6" s="5"/>
      <c r="I6" s="5"/>
      <c r="J6" s="5"/>
      <c r="K6" s="5"/>
      <c r="L6" s="5"/>
    </row>
    <row r="7" spans="1:12" x14ac:dyDescent="0.25">
      <c r="A7" s="5" t="s">
        <v>7</v>
      </c>
      <c r="B7" s="5">
        <v>20</v>
      </c>
      <c r="C7" s="5"/>
      <c r="D7" s="5"/>
      <c r="E7" s="5"/>
      <c r="F7" s="5"/>
      <c r="G7" s="5"/>
      <c r="H7" s="5"/>
      <c r="I7" s="5"/>
      <c r="J7" s="5"/>
      <c r="K7" s="5"/>
      <c r="L7" s="5"/>
    </row>
    <row r="8" spans="1:12" x14ac:dyDescent="0.25">
      <c r="A8" s="5" t="s">
        <v>10</v>
      </c>
      <c r="B8" s="5">
        <v>2E-3</v>
      </c>
      <c r="C8" s="5"/>
      <c r="D8" s="5"/>
      <c r="E8" s="5"/>
      <c r="F8" s="5"/>
      <c r="G8" s="5"/>
      <c r="H8" s="5"/>
      <c r="I8" s="5"/>
      <c r="J8" s="5"/>
      <c r="K8" s="5"/>
      <c r="L8" s="5"/>
    </row>
    <row r="9" spans="1:12" x14ac:dyDescent="0.25">
      <c r="A9" s="5" t="s">
        <v>9</v>
      </c>
      <c r="B9" s="5">
        <v>5</v>
      </c>
      <c r="C9" s="5"/>
      <c r="D9" s="5"/>
      <c r="E9" s="5"/>
      <c r="F9" s="5"/>
      <c r="G9" s="5"/>
      <c r="H9" s="5"/>
      <c r="I9" s="5"/>
      <c r="J9" s="5"/>
      <c r="K9" s="5"/>
      <c r="L9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profit</vt:lpstr>
      <vt:lpstr>fleets</vt:lpstr>
      <vt:lpstr>fleets C</vt:lpstr>
      <vt:lpstr>fleets B</vt:lpstr>
      <vt:lpstr>fleets A</vt:lpstr>
      <vt:lpstr>trade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Dima</cp:lastModifiedBy>
  <dcterms:created xsi:type="dcterms:W3CDTF">2015-06-05T18:19:34Z</dcterms:created>
  <dcterms:modified xsi:type="dcterms:W3CDTF">2022-01-15T05:26:59Z</dcterms:modified>
</cp:coreProperties>
</file>